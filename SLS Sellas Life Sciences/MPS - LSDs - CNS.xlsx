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1685cd5063f9d2/Dokumenty/"/>
    </mc:Choice>
  </mc:AlternateContent>
  <xr:revisionPtr revIDLastSave="257" documentId="8_{1B25494D-5263-4C39-8ACF-8496EFE9FBEF}" xr6:coauthVersionLast="47" xr6:coauthVersionMax="47" xr10:uidLastSave="{BE19996B-D12B-45D3-AF3D-EDDFEC01F46E}"/>
  <bookViews>
    <workbookView minimized="1" xWindow="1905" yWindow="1905" windowWidth="21600" windowHeight="11235" xr2:uid="{D91A7BC2-7DE3-4E31-880D-01C0A76073E2}"/>
  </bookViews>
  <sheets>
    <sheet name="launches" sheetId="1" r:id="rId1"/>
    <sheet name="GAUCHER" sheetId="14" r:id="rId2"/>
    <sheet name="MPS I" sheetId="5" r:id="rId3"/>
    <sheet name="MPS II" sheetId="6" r:id="rId4"/>
    <sheet name="MPS III A" sheetId="3" r:id="rId5"/>
    <sheet name="MPS III B" sheetId="9" r:id="rId6"/>
    <sheet name="MPS III C" sheetId="11" r:id="rId7"/>
    <sheet name="MPS III D" sheetId="12" r:id="rId8"/>
    <sheet name="MPS IV" sheetId="2" r:id="rId9"/>
    <sheet name="MPS VI" sheetId="7" r:id="rId10"/>
    <sheet name="MPS VII" sheetId="4" r:id="rId11"/>
    <sheet name="MPS IX" sheetId="8" r:id="rId12"/>
    <sheet name="pipelines" sheetId="10" r:id="rId13"/>
    <sheet name="studies" sheetId="13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9" l="1"/>
  <c r="C14" i="9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Q10" i="1"/>
  <c r="Q5" i="1"/>
  <c r="Q12" i="1"/>
  <c r="Q18" i="1"/>
  <c r="Q13" i="1"/>
  <c r="Q4" i="1"/>
  <c r="Q6" i="1"/>
</calcChain>
</file>

<file path=xl/sharedStrings.xml><?xml version="1.0" encoding="utf-8"?>
<sst xmlns="http://schemas.openxmlformats.org/spreadsheetml/2006/main" count="454" uniqueCount="323">
  <si>
    <t>admission</t>
  </si>
  <si>
    <t>approval</t>
  </si>
  <si>
    <t>company</t>
  </si>
  <si>
    <t>1Y</t>
  </si>
  <si>
    <t>2Y</t>
  </si>
  <si>
    <t>3Y</t>
  </si>
  <si>
    <t>4Y</t>
  </si>
  <si>
    <t>5Y</t>
  </si>
  <si>
    <t>6Y</t>
  </si>
  <si>
    <t>7Y</t>
  </si>
  <si>
    <t>8Y</t>
  </si>
  <si>
    <t>9Y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</si>
  <si>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</si>
  <si>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</si>
  <si>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</si>
  <si>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</si>
  <si>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</si>
  <si>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</si>
  <si>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</si>
  <si>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</si>
  <si>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</si>
  <si>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</si>
  <si>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indication</t>
  </si>
  <si>
    <t>MPS I</t>
  </si>
  <si>
    <t>name / enzyme dificiency</t>
  </si>
  <si>
    <t>Hurler/Scheine/ alpha-L-iduronidase</t>
  </si>
  <si>
    <t>IV weekly</t>
  </si>
  <si>
    <t>BioMarin / Genzyme</t>
  </si>
  <si>
    <t>Drug / Brand</t>
  </si>
  <si>
    <t>Aldurazyme (laronidase)</t>
  </si>
  <si>
    <t>MPS II</t>
  </si>
  <si>
    <t>Shire (Takeda)</t>
  </si>
  <si>
    <t>Vimizim (elosulfase alfa)</t>
  </si>
  <si>
    <t>MPS IV A</t>
  </si>
  <si>
    <t>Morquio A / Galactosamine-6-sulfate sulfatase</t>
  </si>
  <si>
    <t>BioMarin</t>
  </si>
  <si>
    <t>MPS IV B</t>
  </si>
  <si>
    <t>Morquio B / beta -galactosidase</t>
  </si>
  <si>
    <t>Naglazyme (galsulfase)</t>
  </si>
  <si>
    <t>MPS VI</t>
  </si>
  <si>
    <t>Maroteaux-Lamy / N-acetylgalactosamine 4-sulfatase</t>
  </si>
  <si>
    <t>Mepsevii (vestronidase alfa)</t>
  </si>
  <si>
    <t>MPS VII</t>
  </si>
  <si>
    <t>Sly / beta - glucoronidase</t>
  </si>
  <si>
    <t>IV bimontly</t>
  </si>
  <si>
    <t>Ultragenyx</t>
  </si>
  <si>
    <t>10Y</t>
  </si>
  <si>
    <t>11Y</t>
  </si>
  <si>
    <t>12Y</t>
  </si>
  <si>
    <t>Brand</t>
  </si>
  <si>
    <t>Generic</t>
  </si>
  <si>
    <t>Indication</t>
  </si>
  <si>
    <t xml:space="preserve">MPS VII / Sly syndrome </t>
  </si>
  <si>
    <t>ultra-rare inherited LSD estimated 1 in 1M, one of the rarest mucopolysaccharidosis</t>
  </si>
  <si>
    <t xml:space="preserve">indication </t>
  </si>
  <si>
    <t>Brineura (cerliponase alfa)</t>
  </si>
  <si>
    <t>CLN2 (Neuronal ceroid lipofuscinosis type 2 )</t>
  </si>
  <si>
    <t>late-infantile Batten disease / LSD TPP1 enzyme deficiency</t>
  </si>
  <si>
    <t>13Y</t>
  </si>
  <si>
    <t>14Y</t>
  </si>
  <si>
    <t>15Y</t>
  </si>
  <si>
    <t>16Y</t>
  </si>
  <si>
    <t>17Y</t>
  </si>
  <si>
    <t>19Y</t>
  </si>
  <si>
    <t>20Y</t>
  </si>
  <si>
    <t>18Y</t>
  </si>
  <si>
    <t>21Y</t>
  </si>
  <si>
    <t>22Y</t>
  </si>
  <si>
    <t>23Y</t>
  </si>
  <si>
    <t>sum</t>
  </si>
  <si>
    <t>Hunter / Induronate-2-sulfatase</t>
  </si>
  <si>
    <t xml:space="preserve">MPS III A </t>
  </si>
  <si>
    <t>UX111 (rebisufiligene etisparvovec</t>
  </si>
  <si>
    <t>expected Q226</t>
  </si>
  <si>
    <t xml:space="preserve">MPS I </t>
  </si>
  <si>
    <t>endpoint</t>
  </si>
  <si>
    <t>urinary dermatan sulfate (DS.) &amp; heparan sulfate (HS)</t>
  </si>
  <si>
    <t>main</t>
  </si>
  <si>
    <t>Liver and spleen volume (MRI/ultrasound)</t>
  </si>
  <si>
    <t>Plasma GAG levels</t>
  </si>
  <si>
    <t>GAG accumulation drives pathology</t>
  </si>
  <si>
    <t>urinay GAG reduction correlates with systemic improvement</t>
  </si>
  <si>
    <t>urinary total GAGs (especially DS and HS)</t>
  </si>
  <si>
    <t>for CNS-targeting therapies: reduction in CSF heparan sulfate</t>
  </si>
  <si>
    <t>regulator increasingly prefer CSF HS for neuronopathic MPS II trials</t>
  </si>
  <si>
    <t>reduction in CSF heparan sulfate (HS)</t>
  </si>
  <si>
    <t>secondary: brain volume on MRI</t>
  </si>
  <si>
    <t>plasma HS</t>
  </si>
  <si>
    <t>urinary GAGs are less useful here because systemic disease is mild</t>
  </si>
  <si>
    <t>MPS IV</t>
  </si>
  <si>
    <t>reduction in urinary keratan sulfate (KS)</t>
  </si>
  <si>
    <t>other: plasma KS levels</t>
  </si>
  <si>
    <t>skeletal outcomes correlate poorly with KS reduction - known limitation</t>
  </si>
  <si>
    <t>urinary dermatan sulfate</t>
  </si>
  <si>
    <t>secondary: liver volume reduction</t>
  </si>
  <si>
    <t>cardiac valve measurements</t>
  </si>
  <si>
    <t>urinary total GAGs</t>
  </si>
  <si>
    <t>because of how little patients there are: biochemical correction of GAG levels</t>
  </si>
  <si>
    <t>MPS IX</t>
  </si>
  <si>
    <t>hyluronan levels</t>
  </si>
  <si>
    <t>no validated regulatory surrogate endpoint yet</t>
  </si>
  <si>
    <t>patients</t>
  </si>
  <si>
    <t>1.3k-1.4k globally</t>
  </si>
  <si>
    <t>laronidase</t>
  </si>
  <si>
    <t>Aldurazyme</t>
  </si>
  <si>
    <t>cost pp</t>
  </si>
  <si>
    <t>$200k-$250k</t>
  </si>
  <si>
    <t>Elaprase</t>
  </si>
  <si>
    <t>idursulfase</t>
  </si>
  <si>
    <t>1.7k-1.8k</t>
  </si>
  <si>
    <t>$300k-$400k</t>
  </si>
  <si>
    <t>Vimizim</t>
  </si>
  <si>
    <t>elosulfase alfa</t>
  </si>
  <si>
    <t>patient</t>
  </si>
  <si>
    <t>1.3k-1.5k</t>
  </si>
  <si>
    <t>$450k-600k</t>
  </si>
  <si>
    <t>Naglazyme</t>
  </si>
  <si>
    <t>galsulfase</t>
  </si>
  <si>
    <t>1k-1.1k</t>
  </si>
  <si>
    <t>$400k-$500k</t>
  </si>
  <si>
    <t>Mepsevii</t>
  </si>
  <si>
    <t>vestronidase alfa</t>
  </si>
  <si>
    <t>50-70</t>
  </si>
  <si>
    <t>1 in 60k-100k</t>
  </si>
  <si>
    <t>Ultragenyx says 3k to 5k patients in commercially accessible geographies</t>
  </si>
  <si>
    <t>possibly $200k-$500k</t>
  </si>
  <si>
    <t xml:space="preserve">1,300-1,400 </t>
  </si>
  <si>
    <t>1,700-1,800</t>
  </si>
  <si>
    <t>MPS III B</t>
  </si>
  <si>
    <t>MPS III A</t>
  </si>
  <si>
    <t>3,000-5,000</t>
  </si>
  <si>
    <t>est $200k-$500k</t>
  </si>
  <si>
    <t>1,300-1,500</t>
  </si>
  <si>
    <t>1,000-1,100</t>
  </si>
  <si>
    <t>$400k-500k</t>
  </si>
  <si>
    <t>$400k-$600k</t>
  </si>
  <si>
    <t>$400k-600k</t>
  </si>
  <si>
    <t>estimate</t>
  </si>
  <si>
    <t>pipelines</t>
  </si>
  <si>
    <t>candidate</t>
  </si>
  <si>
    <t>developers</t>
  </si>
  <si>
    <t>therapy type</t>
  </si>
  <si>
    <t>status</t>
  </si>
  <si>
    <t>OTL-203</t>
  </si>
  <si>
    <t>Orchard Therapeutics / Kyowa Kirin</t>
  </si>
  <si>
    <t>HSC gene therapy</t>
  </si>
  <si>
    <t>Phsae3, one time gene therapy inserting IDUA via lentiviral vector aimed at systemic + CNS benefit</t>
  </si>
  <si>
    <t>JR-171 (lepunafusp alfa)</t>
  </si>
  <si>
    <t>JCR Pharmaceuticals</t>
  </si>
  <si>
    <t>Fusion ERT (BBB-crossing)</t>
  </si>
  <si>
    <t>completed Phase I/II, extended study underway, uses antibody-mediated BBB transport</t>
  </si>
  <si>
    <t>RGX-111</t>
  </si>
  <si>
    <t>REGENXBIO/Nippon Shinyaku</t>
  </si>
  <si>
    <t>AAV gene therapy</t>
  </si>
  <si>
    <t>Phase I/II, AAV9 gene delivery targeting CNS, early positive biological data</t>
  </si>
  <si>
    <t>ISP-001</t>
  </si>
  <si>
    <t>Immusoft</t>
  </si>
  <si>
    <t>Engineered cell therapy</t>
  </si>
  <si>
    <t>Phsase I, autologous B-cell platform producing IDUA</t>
  </si>
  <si>
    <t>JR-141 (pabinafusp alfa)</t>
  </si>
  <si>
    <t>GNR-055</t>
  </si>
  <si>
    <t>AO Generium</t>
  </si>
  <si>
    <t xml:space="preserve">RGX-121 </t>
  </si>
  <si>
    <t>gene therapy</t>
  </si>
  <si>
    <t>BBB-penetrating recombinant ERT</t>
  </si>
  <si>
    <t>BBB-penetrating enzyme (fusion protein)</t>
  </si>
  <si>
    <t xml:space="preserve">REGENXBIO </t>
  </si>
  <si>
    <t>Phase III, STARLIGHT trial, aims to also treat neurological aspects</t>
  </si>
  <si>
    <t>Phase II/III, ERT designed for CNS and systemic correction</t>
  </si>
  <si>
    <t>FDA declined approval for RGX-121 in 2026 via CRL, plans further data submission</t>
  </si>
  <si>
    <t>MPS III</t>
  </si>
  <si>
    <t>Denali Therapeutics</t>
  </si>
  <si>
    <t>DNL126</t>
  </si>
  <si>
    <t>UX111 (rebisufiligene etisparvovec)</t>
  </si>
  <si>
    <t>Trehalose (SLS-005)</t>
  </si>
  <si>
    <t>Ultragenyx / Abeona</t>
  </si>
  <si>
    <t>Seelos Therapeutics</t>
  </si>
  <si>
    <t xml:space="preserve">BBB-crossing ERT </t>
  </si>
  <si>
    <t>small-molecule/modulator</t>
  </si>
  <si>
    <t>Phase I/II for MPSA IIIA, uses ETV tech to geliver SGSH to brain + systemicall</t>
  </si>
  <si>
    <t>Preregistration / advanced gene therapy for MPS III A with multiple regulatory designations</t>
  </si>
  <si>
    <t>investigational therapy reported in piepline materials, aims to reduce substrate or influence disease pathways</t>
  </si>
  <si>
    <t>DNL310 (tividenofusp alfa)</t>
  </si>
  <si>
    <t>Denali Therapeutics / BioMarin</t>
  </si>
  <si>
    <t>BBB-crossing ERT using Transport Vehicle</t>
  </si>
  <si>
    <t>BLA under FDA Priority Review, PDUFA data April 5, 2026, positive Phase 1/2 data published in NEJM (2026), shows improvements in somatic and neurological symptoms</t>
  </si>
  <si>
    <t>MPS IIIA</t>
  </si>
  <si>
    <t>JR-441</t>
  </si>
  <si>
    <t>BBB-penetrating recombinant heparan N-sulfatase ERT</t>
  </si>
  <si>
    <t>Phase I/II ongoing</t>
  </si>
  <si>
    <t>1 in 200k newborns</t>
  </si>
  <si>
    <t>3.6M newborns US 2023</t>
  </si>
  <si>
    <t>15-20 years lifespan</t>
  </si>
  <si>
    <t>https://www.ultragenyx.com/our-research/pipeline/ux111-for-mps-iiia/</t>
  </si>
  <si>
    <t>MoA</t>
  </si>
  <si>
    <t>Deliver SGSH gene to cells of the CNS and peripheral organs</t>
  </si>
  <si>
    <t>UX111</t>
  </si>
  <si>
    <t>rebisufligene etisparvovec - formerly ABO-102</t>
  </si>
  <si>
    <t>modality</t>
  </si>
  <si>
    <t>AAV9 gene therapy</t>
  </si>
  <si>
    <t>TA-ERT (tralesinidase alfa ERT)</t>
  </si>
  <si>
    <t>TA-ERT</t>
  </si>
  <si>
    <t>tralesinidase alfa</t>
  </si>
  <si>
    <t>BLA expected late 2026</t>
  </si>
  <si>
    <t>Spruce Biosciences</t>
  </si>
  <si>
    <t>CNS weekly</t>
  </si>
  <si>
    <t xml:space="preserve">MPS III C </t>
  </si>
  <si>
    <t>MPS III D</t>
  </si>
  <si>
    <t>MPS III C</t>
  </si>
  <si>
    <t>$700k - $844k</t>
  </si>
  <si>
    <t>Gaucher disease</t>
  </si>
  <si>
    <t>Fabry disease</t>
  </si>
  <si>
    <t>sphingolipidoses</t>
  </si>
  <si>
    <t>caused by failure to break down sphingoliipids (fatty subtances)</t>
  </si>
  <si>
    <t>Tay-Sachs disesae</t>
  </si>
  <si>
    <t>Sandhoff disease</t>
  </si>
  <si>
    <t>Krabbe disease (globoid cell leukodystrophy)</t>
  </si>
  <si>
    <t>metachromatic leukodystruphy (MLD)</t>
  </si>
  <si>
    <t>Niemann-Pick disease (ABC)</t>
  </si>
  <si>
    <t>Fabrer disease (lipogranulomatosis)</t>
  </si>
  <si>
    <t xml:space="preserve">GM1 </t>
  </si>
  <si>
    <t>GM2</t>
  </si>
  <si>
    <t xml:space="preserve">NCLs / Batten disease </t>
  </si>
  <si>
    <t xml:space="preserve">CNL1 (PTT1 gene) - classic infantile </t>
  </si>
  <si>
    <t xml:space="preserve">CLN2 (TPP1 gene) - late infantile </t>
  </si>
  <si>
    <t>CNL3 - juvenile</t>
  </si>
  <si>
    <t>CLN4 - adult onset</t>
  </si>
  <si>
    <t>CLN5 - finnish variant late infantile</t>
  </si>
  <si>
    <t>CLN6 - late infantile variant</t>
  </si>
  <si>
    <t>CLN7 (MFSD8)</t>
  </si>
  <si>
    <t>CLN8</t>
  </si>
  <si>
    <t>CLN10 (CTSD)</t>
  </si>
  <si>
    <t>CLN11-CLN14 (various genes)</t>
  </si>
  <si>
    <t>Pompe disease (GSDII) - glycogen accumulation in lysosomes</t>
  </si>
  <si>
    <t>Mucolipidoses (ML)</t>
  </si>
  <si>
    <t>MLI (Sialidosis)</t>
  </si>
  <si>
    <t>MLII (I-cell disease)</t>
  </si>
  <si>
    <t>MLIII (Pseudo-Hurler polydystropy)</t>
  </si>
  <si>
    <t>MLIV</t>
  </si>
  <si>
    <t>Oligosaccharidoses / Glycoprotein Storage Diseases</t>
  </si>
  <si>
    <t>alpha-mannosidosis</t>
  </si>
  <si>
    <t>beta-mannosidosis</t>
  </si>
  <si>
    <t>fucosidosis</t>
  </si>
  <si>
    <t>aspartylglucasaminuria</t>
  </si>
  <si>
    <t>sialidosis</t>
  </si>
  <si>
    <t>galactosialidosis</t>
  </si>
  <si>
    <t>Schindler disease (type 1 &amp; 2)</t>
  </si>
  <si>
    <t>Lipid Storage Dieases (other)</t>
  </si>
  <si>
    <t>Cholesteryl ester storage disease (CESD)</t>
  </si>
  <si>
    <t>Wolman disease</t>
  </si>
  <si>
    <t>Lysosomal acid lipase deficiency</t>
  </si>
  <si>
    <t>Silic acid disorders</t>
  </si>
  <si>
    <t>Salla disease</t>
  </si>
  <si>
    <t>Infantile free sialic acid storage disease (ISSD)</t>
  </si>
  <si>
    <t>other / miscellaneous LSDs</t>
  </si>
  <si>
    <t xml:space="preserve">cystinosis </t>
  </si>
  <si>
    <t>danon disease (X-linked)</t>
  </si>
  <si>
    <t>Niemann-Pick type c (cholesterol transport defect)</t>
  </si>
  <si>
    <t>Chediak - Higashi syndrome</t>
  </si>
  <si>
    <t>Griscelli syndrome</t>
  </si>
  <si>
    <t>Hermansky - Pudlak syndrome</t>
  </si>
  <si>
    <t>denali trying to brake in</t>
  </si>
  <si>
    <t>does not cross BBB</t>
  </si>
  <si>
    <t>typically no cognitive impairment</t>
  </si>
  <si>
    <t>cognitive</t>
  </si>
  <si>
    <t>systemic</t>
  </si>
  <si>
    <t>sometimes</t>
  </si>
  <si>
    <t>yes</t>
  </si>
  <si>
    <t>yes (severe forms)</t>
  </si>
  <si>
    <t>yes (severe)</t>
  </si>
  <si>
    <t>mild</t>
  </si>
  <si>
    <t>no</t>
  </si>
  <si>
    <t>notes</t>
  </si>
  <si>
    <t>mainly neurodegenerative</t>
  </si>
  <si>
    <t>CNS + Systemic</t>
  </si>
  <si>
    <t>crosses BBB?</t>
  </si>
  <si>
    <t>should</t>
  </si>
  <si>
    <t>CNS</t>
  </si>
  <si>
    <t xml:space="preserve">Sanfilippo syndrome A / SGSH </t>
  </si>
  <si>
    <t>Sanfilippo syndrome B / NAGLU</t>
  </si>
  <si>
    <t>Sanfilippo syndrome C / HGSNAT</t>
  </si>
  <si>
    <t>Sanfilippo syndrome D / GNS</t>
  </si>
  <si>
    <t xml:space="preserve">gene </t>
  </si>
  <si>
    <t>HGSNAT</t>
  </si>
  <si>
    <t>heparan-alfa-glucosaminide N-acetyltransferase</t>
  </si>
  <si>
    <t>stage</t>
  </si>
  <si>
    <t>early stage gene therapy</t>
  </si>
  <si>
    <t>gene</t>
  </si>
  <si>
    <t>GNS</t>
  </si>
  <si>
    <t xml:space="preserve">N-acetylglucosamine-6-sulfatase </t>
  </si>
  <si>
    <t>experimental ERT</t>
  </si>
  <si>
    <t>pipeline:</t>
  </si>
  <si>
    <t>OTL-201</t>
  </si>
  <si>
    <t>DNL-126</t>
  </si>
  <si>
    <t>GC1130A</t>
  </si>
  <si>
    <t>SOBI003</t>
  </si>
  <si>
    <t>SAF-301</t>
  </si>
  <si>
    <t>pipeline</t>
  </si>
  <si>
    <t>JR-446</t>
  </si>
  <si>
    <t>SBC-103</t>
  </si>
  <si>
    <t xml:space="preserve">Elaprase (idursulfase) / AVLAYAH </t>
  </si>
  <si>
    <t>https://clinicaltrials.gov/study/NCT04532047</t>
  </si>
  <si>
    <t>studies</t>
  </si>
  <si>
    <t>PEARL Trial</t>
  </si>
  <si>
    <t>the most common LSD</t>
  </si>
  <si>
    <t>accumulation of toxic glucocerebroside lipids in various organs</t>
  </si>
  <si>
    <t>mutations in GBA1 gene (glucocerebrosidase)</t>
  </si>
  <si>
    <t>GBA1 encodes Gcase, which lives in lysosomes</t>
  </si>
  <si>
    <t>Gcase is responsible for breaking down glucosylcaramide (a fatty lipid)</t>
  </si>
  <si>
    <t>into smaller molecules</t>
  </si>
  <si>
    <t xml:space="preserve">When Gcase is deficient or dysfunctional, glucosylceramide (Gb-1) and glucosylphingosine </t>
  </si>
  <si>
    <t>lyso-GB1 build up in cells, affecting multiple organs indlugin:</t>
  </si>
  <si>
    <t>liver, spleen, bone and lungs</t>
  </si>
  <si>
    <t>the cells that accumulate this lipid most visibly become Gaucher cells</t>
  </si>
  <si>
    <t xml:space="preserve">engroged macrophages that deposit in the spleen, liver and bone marrow causing th dieseases </t>
  </si>
  <si>
    <t>hallmark organ damage</t>
  </si>
  <si>
    <t>drugs</t>
  </si>
  <si>
    <t>drugs for Gauchers, particularly Type 1, focus on reducing substance buildup</t>
  </si>
  <si>
    <t>(Substrate Reduction Therapy - SRT)</t>
  </si>
  <si>
    <t>or replacing the missing enzyme (ERT)</t>
  </si>
  <si>
    <t>key drugs include oral agents Cerdelga (eliglustat)</t>
  </si>
  <si>
    <t>Zavesca (miglustat)</t>
  </si>
  <si>
    <t>and IV infusions like Cerezyme (imiglucerase)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</si>
</sst>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Arial"/>
      <family val="2"/>
    </font>
    <font>
      <sz val="8"/>
      <name val="Arial"/>
      <family val="2"/>
    </font>
    <font>
      <b/>
      <u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  <charset val="238"/>
    </font>
    <font>
      <i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3" fontId="3" fillId="0" borderId="0" xfId="0" applyNumberFormat="1" applyFont="1"/>
    <xf numFmtId="0" fontId="0" fillId="0" borderId="0" xfId="0" applyAlignment="1">
      <alignment horizontal="left" vertical="top"/>
    </xf>
    <xf numFmtId="3" fontId="0" fillId="0" borderId="0" xfId="0" applyNumberFormat="1"/>
    <xf numFmtId="3" fontId="0" fillId="0" borderId="0" xfId="0" applyNumberForma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0" xfId="1"/>
    <xf numFmtId="0" fontId="4" fillId="0" borderId="0" xfId="1" applyAlignment="1">
      <alignment horizontal="center" vertical="center"/>
    </xf>
    <xf numFmtId="3" fontId="4" fillId="0" borderId="0" xfId="1" applyNumberFormat="1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2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/>
    <xf numFmtId="3" fontId="0" fillId="0" borderId="0" xfId="0" applyNumberFormat="1" applyAlignment="1">
      <alignment horizontal="left" vertical="top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5A82-FED6-4B4A-92FA-8A5218D2E063}">
  <dimension ref="B2:BB90"/>
  <sheetViews>
    <sheetView showGridLines="0" tabSelected="1" zoomScale="115" zoomScaleNormal="115" workbookViewId="0">
      <pane xSplit="3" ySplit="2" topLeftCell="D9" activePane="bottomRight" state="frozen"/>
      <selection pane="topRight" activeCell="D1" sqref="D1"/>
      <selection pane="bottomLeft" activeCell="A3" sqref="A3"/>
      <selection pane="bottomRight" activeCell="B30" sqref="B30"/>
    </sheetView>
  </sheetViews>
  <sheetFormatPr defaultRowHeight="12.75" x14ac:dyDescent="0.2"/>
  <cols>
    <col min="1" max="1" width="4.7109375" customWidth="1"/>
    <col min="2" max="2" width="23.85546875" bestFit="1" customWidth="1"/>
    <col min="3" max="3" width="10.85546875" style="1" bestFit="1" customWidth="1"/>
    <col min="4" max="4" width="29" style="1" customWidth="1"/>
    <col min="5" max="6" width="10.7109375" style="1" customWidth="1"/>
    <col min="7" max="7" width="10.7109375" style="1" bestFit="1" customWidth="1"/>
    <col min="8" max="8" width="20.85546875" style="9" customWidth="1"/>
    <col min="9" max="9" width="17.7109375" style="1" bestFit="1" customWidth="1"/>
    <col min="10" max="10" width="11.42578125" style="1" bestFit="1" customWidth="1"/>
    <col min="11" max="11" width="14.7109375" style="1" bestFit="1" customWidth="1"/>
    <col min="12" max="12" width="22.140625" style="1" bestFit="1" customWidth="1"/>
    <col min="13" max="13" width="13.85546875" style="1" bestFit="1" customWidth="1"/>
    <col min="14" max="14" width="17.7109375" style="1" customWidth="1"/>
  </cols>
  <sheetData>
    <row r="2" spans="2:54" s="2" customFormat="1" x14ac:dyDescent="0.2">
      <c r="B2" s="3" t="s">
        <v>28</v>
      </c>
      <c r="C2" s="2" t="s">
        <v>22</v>
      </c>
      <c r="D2" s="2" t="s">
        <v>24</v>
      </c>
      <c r="E2" s="2" t="s">
        <v>264</v>
      </c>
      <c r="F2" s="2" t="s">
        <v>265</v>
      </c>
      <c r="G2" s="2" t="s">
        <v>0</v>
      </c>
      <c r="H2" s="8" t="s">
        <v>1</v>
      </c>
      <c r="I2" s="2" t="s">
        <v>2</v>
      </c>
      <c r="J2" s="2" t="s">
        <v>101</v>
      </c>
      <c r="K2" s="2" t="s">
        <v>105</v>
      </c>
      <c r="L2" s="2" t="s">
        <v>272</v>
      </c>
      <c r="M2" s="2" t="s">
        <v>275</v>
      </c>
      <c r="Q2" s="2" t="s">
        <v>69</v>
      </c>
      <c r="R2" s="2" t="s">
        <v>3</v>
      </c>
      <c r="S2" s="2" t="s">
        <v>4</v>
      </c>
      <c r="T2" s="2" t="s">
        <v>5</v>
      </c>
      <c r="U2" s="2" t="s">
        <v>6</v>
      </c>
      <c r="V2" s="2" t="s">
        <v>7</v>
      </c>
      <c r="W2" s="2" t="s">
        <v>8</v>
      </c>
      <c r="X2" s="2" t="s">
        <v>9</v>
      </c>
      <c r="Y2" s="2" t="s">
        <v>10</v>
      </c>
      <c r="Z2" s="2" t="s">
        <v>11</v>
      </c>
      <c r="AA2" s="2" t="s">
        <v>46</v>
      </c>
      <c r="AB2" s="2" t="s">
        <v>47</v>
      </c>
      <c r="AC2" s="2" t="s">
        <v>48</v>
      </c>
      <c r="AD2" s="2" t="s">
        <v>58</v>
      </c>
      <c r="AE2" s="2" t="s">
        <v>59</v>
      </c>
      <c r="AF2" s="2" t="s">
        <v>60</v>
      </c>
      <c r="AG2" s="2" t="s">
        <v>61</v>
      </c>
      <c r="AH2" s="2" t="s">
        <v>62</v>
      </c>
      <c r="AI2" s="2" t="s">
        <v>65</v>
      </c>
      <c r="AJ2" s="2" t="s">
        <v>63</v>
      </c>
      <c r="AK2" s="2" t="s">
        <v>64</v>
      </c>
      <c r="AL2" s="2" t="s">
        <v>66</v>
      </c>
      <c r="AM2" s="2" t="s">
        <v>67</v>
      </c>
      <c r="AN2" s="2" t="s">
        <v>68</v>
      </c>
      <c r="AS2" s="2" t="s">
        <v>12</v>
      </c>
      <c r="AT2" s="2" t="s">
        <v>13</v>
      </c>
      <c r="AU2" s="2" t="s">
        <v>14</v>
      </c>
      <c r="AV2" s="2" t="s">
        <v>15</v>
      </c>
      <c r="AW2" s="2" t="s">
        <v>16</v>
      </c>
      <c r="AX2" s="2" t="s">
        <v>17</v>
      </c>
      <c r="AY2" s="2" t="s">
        <v>18</v>
      </c>
      <c r="AZ2" s="2" t="s">
        <v>19</v>
      </c>
      <c r="BA2" s="2" t="s">
        <v>20</v>
      </c>
      <c r="BB2" s="2" t="s">
        <v>21</v>
      </c>
    </row>
    <row r="3" spans="2:54" x14ac:dyDescent="0.2">
      <c r="D3"/>
    </row>
    <row r="4" spans="2:54" x14ac:dyDescent="0.2">
      <c r="B4" t="s">
        <v>29</v>
      </c>
      <c r="C4" s="11" t="s">
        <v>23</v>
      </c>
      <c r="D4" s="5" t="s">
        <v>25</v>
      </c>
      <c r="E4" s="5" t="s">
        <v>268</v>
      </c>
      <c r="F4" s="1" t="s">
        <v>267</v>
      </c>
      <c r="G4" s="1" t="s">
        <v>26</v>
      </c>
      <c r="H4" s="9">
        <v>2003</v>
      </c>
      <c r="I4" s="1" t="s">
        <v>27</v>
      </c>
      <c r="J4" s="1" t="s">
        <v>126</v>
      </c>
      <c r="K4" s="1" t="s">
        <v>106</v>
      </c>
      <c r="L4" s="1" t="s">
        <v>274</v>
      </c>
      <c r="M4" s="1" t="s">
        <v>271</v>
      </c>
      <c r="Q4" s="6">
        <f>+SUM(R4:AR4)</f>
        <v>2338.6999999999998</v>
      </c>
      <c r="R4" s="4">
        <v>11.5</v>
      </c>
      <c r="S4" s="4">
        <v>42.6</v>
      </c>
      <c r="T4" s="4">
        <v>76.400000000000006</v>
      </c>
      <c r="U4" s="4">
        <v>96.3</v>
      </c>
      <c r="V4" s="4">
        <v>123.7</v>
      </c>
      <c r="W4" s="4">
        <v>72.5</v>
      </c>
      <c r="X4" s="4">
        <v>70.2</v>
      </c>
      <c r="Y4" s="4">
        <v>71.2</v>
      </c>
      <c r="Z4" s="4">
        <v>82.8</v>
      </c>
      <c r="AA4" s="4">
        <v>82.2</v>
      </c>
      <c r="AB4" s="4">
        <v>83.6</v>
      </c>
      <c r="AC4" s="4">
        <v>105.6</v>
      </c>
      <c r="AD4" s="4">
        <v>98</v>
      </c>
      <c r="AE4" s="4">
        <v>93.8</v>
      </c>
      <c r="AF4" s="4">
        <v>90</v>
      </c>
      <c r="AG4" s="4">
        <v>135.1</v>
      </c>
      <c r="AH4" s="4">
        <v>97.8</v>
      </c>
      <c r="AI4" s="4">
        <v>130.1</v>
      </c>
      <c r="AJ4" s="4">
        <v>122.8</v>
      </c>
      <c r="AK4" s="4">
        <v>128.4</v>
      </c>
      <c r="AL4" s="4">
        <v>131.19999999999999</v>
      </c>
      <c r="AM4" s="4">
        <v>183.9</v>
      </c>
      <c r="AN4" s="4">
        <v>209</v>
      </c>
      <c r="AO4" s="4"/>
      <c r="AP4" s="4"/>
    </row>
    <row r="5" spans="2:54" s="6" customFormat="1" x14ac:dyDescent="0.2">
      <c r="B5" s="6" t="s">
        <v>300</v>
      </c>
      <c r="C5" s="12" t="s">
        <v>30</v>
      </c>
      <c r="D5" s="20" t="s">
        <v>70</v>
      </c>
      <c r="E5" s="7" t="s">
        <v>266</v>
      </c>
      <c r="F5" s="7" t="s">
        <v>267</v>
      </c>
      <c r="G5" s="7" t="s">
        <v>26</v>
      </c>
      <c r="H5" s="9">
        <v>2006</v>
      </c>
      <c r="I5" s="7" t="s">
        <v>31</v>
      </c>
      <c r="J5" s="7" t="s">
        <v>127</v>
      </c>
      <c r="K5" s="7" t="s">
        <v>110</v>
      </c>
      <c r="L5" s="1" t="s">
        <v>274</v>
      </c>
      <c r="M5" s="1" t="s">
        <v>271</v>
      </c>
      <c r="N5" s="7"/>
      <c r="Q5" s="6">
        <f>+SUM(R5:AR5)</f>
        <v>9912.9</v>
      </c>
      <c r="R5" s="6">
        <v>25.1</v>
      </c>
      <c r="S5" s="6">
        <v>188.6</v>
      </c>
      <c r="T5" s="6">
        <v>394.4</v>
      </c>
      <c r="U5" s="6">
        <v>429</v>
      </c>
      <c r="V5" s="6">
        <v>465</v>
      </c>
      <c r="W5" s="6">
        <v>498</v>
      </c>
      <c r="X5" s="6">
        <v>528</v>
      </c>
      <c r="Y5" s="6">
        <v>562</v>
      </c>
      <c r="Z5" s="6">
        <v>594.6</v>
      </c>
      <c r="AA5" s="6">
        <v>553</v>
      </c>
      <c r="AB5" s="6">
        <v>589</v>
      </c>
      <c r="AC5" s="6">
        <v>603.20000000000005</v>
      </c>
      <c r="AD5" s="6">
        <v>590</v>
      </c>
      <c r="AE5" s="6">
        <v>536</v>
      </c>
      <c r="AF5" s="6">
        <v>163</v>
      </c>
      <c r="AG5" s="6">
        <v>649</v>
      </c>
      <c r="AH5" s="6">
        <v>635</v>
      </c>
      <c r="AI5" s="6">
        <v>635</v>
      </c>
      <c r="AJ5" s="6">
        <v>635</v>
      </c>
      <c r="AK5" s="6">
        <v>640</v>
      </c>
    </row>
    <row r="6" spans="2:54" s="6" customFormat="1" x14ac:dyDescent="0.2">
      <c r="B6" s="6" t="s">
        <v>72</v>
      </c>
      <c r="C6" s="12" t="s">
        <v>71</v>
      </c>
      <c r="D6" s="5" t="s">
        <v>278</v>
      </c>
      <c r="E6" s="7" t="s">
        <v>269</v>
      </c>
      <c r="F6" s="7" t="s">
        <v>270</v>
      </c>
      <c r="G6" s="7"/>
      <c r="H6" s="9" t="s">
        <v>73</v>
      </c>
      <c r="I6" s="7" t="s">
        <v>45</v>
      </c>
      <c r="J6" s="7" t="s">
        <v>130</v>
      </c>
      <c r="K6" s="7" t="s">
        <v>131</v>
      </c>
      <c r="L6" s="1" t="s">
        <v>273</v>
      </c>
      <c r="M6" s="1" t="s">
        <v>276</v>
      </c>
      <c r="N6" s="7"/>
      <c r="P6" s="6" t="s">
        <v>137</v>
      </c>
      <c r="Q6" s="6">
        <f>+SUM(R6:AR6)</f>
        <v>5520</v>
      </c>
      <c r="R6" s="6">
        <f>0.1*200</f>
        <v>20</v>
      </c>
      <c r="S6" s="6">
        <f>+R6+(0.1*200)</f>
        <v>40</v>
      </c>
      <c r="T6" s="6">
        <f>+S6+(0.1*200)</f>
        <v>60</v>
      </c>
      <c r="U6" s="6">
        <f t="shared" ref="U6:AN6" si="0">+T6+(0.1*200)</f>
        <v>80</v>
      </c>
      <c r="V6" s="6">
        <f t="shared" si="0"/>
        <v>100</v>
      </c>
      <c r="W6" s="6">
        <f t="shared" si="0"/>
        <v>120</v>
      </c>
      <c r="X6" s="6">
        <f t="shared" si="0"/>
        <v>140</v>
      </c>
      <c r="Y6" s="6">
        <f t="shared" si="0"/>
        <v>160</v>
      </c>
      <c r="Z6" s="6">
        <f t="shared" si="0"/>
        <v>180</v>
      </c>
      <c r="AA6" s="6">
        <f t="shared" si="0"/>
        <v>200</v>
      </c>
      <c r="AB6" s="6">
        <f t="shared" si="0"/>
        <v>220</v>
      </c>
      <c r="AC6" s="6">
        <f t="shared" si="0"/>
        <v>240</v>
      </c>
      <c r="AD6" s="6">
        <f t="shared" si="0"/>
        <v>260</v>
      </c>
      <c r="AE6" s="6">
        <f t="shared" si="0"/>
        <v>280</v>
      </c>
      <c r="AF6" s="6">
        <f t="shared" si="0"/>
        <v>300</v>
      </c>
      <c r="AG6" s="6">
        <f t="shared" si="0"/>
        <v>320</v>
      </c>
      <c r="AH6" s="6">
        <f t="shared" si="0"/>
        <v>340</v>
      </c>
      <c r="AI6" s="6">
        <f t="shared" si="0"/>
        <v>360</v>
      </c>
      <c r="AJ6" s="6">
        <f t="shared" si="0"/>
        <v>380</v>
      </c>
      <c r="AK6" s="6">
        <f t="shared" si="0"/>
        <v>400</v>
      </c>
      <c r="AL6" s="6">
        <f t="shared" si="0"/>
        <v>420</v>
      </c>
      <c r="AM6" s="6">
        <f t="shared" si="0"/>
        <v>440</v>
      </c>
      <c r="AN6" s="6">
        <f t="shared" si="0"/>
        <v>460</v>
      </c>
    </row>
    <row r="7" spans="2:54" x14ac:dyDescent="0.2">
      <c r="B7" t="s">
        <v>200</v>
      </c>
      <c r="C7" s="11" t="s">
        <v>128</v>
      </c>
      <c r="D7" s="5" t="s">
        <v>279</v>
      </c>
      <c r="E7" s="7" t="s">
        <v>269</v>
      </c>
      <c r="F7" s="7" t="s">
        <v>270</v>
      </c>
      <c r="G7" s="1" t="s">
        <v>205</v>
      </c>
      <c r="H7" s="9" t="s">
        <v>203</v>
      </c>
      <c r="I7" s="1" t="s">
        <v>204</v>
      </c>
      <c r="L7" s="1" t="s">
        <v>273</v>
      </c>
      <c r="M7" s="1" t="s">
        <v>277</v>
      </c>
    </row>
    <row r="8" spans="2:54" x14ac:dyDescent="0.2">
      <c r="C8" s="11" t="s">
        <v>206</v>
      </c>
      <c r="D8" s="5" t="s">
        <v>280</v>
      </c>
      <c r="E8" s="7" t="s">
        <v>269</v>
      </c>
      <c r="F8" s="7" t="s">
        <v>270</v>
      </c>
      <c r="L8" s="1" t="s">
        <v>273</v>
      </c>
    </row>
    <row r="9" spans="2:54" x14ac:dyDescent="0.2">
      <c r="C9" s="11" t="s">
        <v>207</v>
      </c>
      <c r="D9" s="5" t="s">
        <v>281</v>
      </c>
      <c r="E9" s="7" t="s">
        <v>269</v>
      </c>
      <c r="F9" s="7" t="s">
        <v>270</v>
      </c>
      <c r="L9" s="1" t="s">
        <v>273</v>
      </c>
    </row>
    <row r="10" spans="2:54" x14ac:dyDescent="0.2">
      <c r="B10" t="s">
        <v>32</v>
      </c>
      <c r="C10" s="11" t="s">
        <v>33</v>
      </c>
      <c r="D10" s="5" t="s">
        <v>34</v>
      </c>
      <c r="E10" s="1" t="s">
        <v>271</v>
      </c>
      <c r="F10" s="1" t="s">
        <v>267</v>
      </c>
      <c r="G10" s="1" t="s">
        <v>26</v>
      </c>
      <c r="H10" s="9">
        <v>2014</v>
      </c>
      <c r="I10" s="1" t="s">
        <v>35</v>
      </c>
      <c r="J10" s="1" t="s">
        <v>132</v>
      </c>
      <c r="K10" s="1" t="s">
        <v>115</v>
      </c>
      <c r="L10" s="1" t="s">
        <v>265</v>
      </c>
      <c r="M10" s="1" t="s">
        <v>271</v>
      </c>
      <c r="Q10" s="6">
        <f>+SUM(R10:AR10)</f>
        <v>6163.3</v>
      </c>
      <c r="R10" s="4">
        <v>0.1</v>
      </c>
      <c r="S10" s="4">
        <v>77.3</v>
      </c>
      <c r="T10" s="4">
        <v>228.1</v>
      </c>
      <c r="U10" s="4">
        <v>354.1</v>
      </c>
      <c r="V10" s="4">
        <v>413.3</v>
      </c>
      <c r="W10" s="4">
        <v>482</v>
      </c>
      <c r="X10" s="4">
        <v>544.29999999999995</v>
      </c>
      <c r="Y10" s="4">
        <v>544.4</v>
      </c>
      <c r="Z10" s="4">
        <v>623.1</v>
      </c>
      <c r="AA10" s="4">
        <v>663.8</v>
      </c>
      <c r="AB10" s="4">
        <v>701</v>
      </c>
      <c r="AC10" s="4">
        <v>739.8</v>
      </c>
      <c r="AD10" s="4">
        <v>792</v>
      </c>
    </row>
    <row r="11" spans="2:54" x14ac:dyDescent="0.2">
      <c r="C11" s="1" t="s">
        <v>36</v>
      </c>
      <c r="D11" s="5" t="s">
        <v>37</v>
      </c>
      <c r="E11" s="1" t="s">
        <v>271</v>
      </c>
      <c r="F11" s="1" t="s">
        <v>267</v>
      </c>
      <c r="L11" s="1" t="s">
        <v>265</v>
      </c>
    </row>
    <row r="12" spans="2:54" x14ac:dyDescent="0.2">
      <c r="B12" t="s">
        <v>38</v>
      </c>
      <c r="C12" s="11" t="s">
        <v>39</v>
      </c>
      <c r="D12" s="5" t="s">
        <v>40</v>
      </c>
      <c r="E12" s="1" t="s">
        <v>271</v>
      </c>
      <c r="F12" s="1" t="s">
        <v>267</v>
      </c>
      <c r="G12" s="1" t="s">
        <v>26</v>
      </c>
      <c r="H12" s="9">
        <v>2005</v>
      </c>
      <c r="I12" s="1" t="s">
        <v>35</v>
      </c>
      <c r="J12" s="1" t="s">
        <v>133</v>
      </c>
      <c r="K12" s="1" t="s">
        <v>134</v>
      </c>
      <c r="L12" s="1" t="s">
        <v>265</v>
      </c>
      <c r="M12" s="1" t="s">
        <v>271</v>
      </c>
      <c r="Q12" s="6">
        <f>+SUM(R12:AR12)</f>
        <v>5978.8000000000011</v>
      </c>
      <c r="R12" s="4">
        <v>12.1</v>
      </c>
      <c r="S12" s="4">
        <v>46.5</v>
      </c>
      <c r="T12" s="4">
        <v>86.2</v>
      </c>
      <c r="U12" s="4">
        <v>132.69999999999999</v>
      </c>
      <c r="V12" s="4">
        <v>168.7</v>
      </c>
      <c r="W12" s="4">
        <v>192.7</v>
      </c>
      <c r="X12" s="4">
        <v>224.9</v>
      </c>
      <c r="Y12" s="4">
        <v>257</v>
      </c>
      <c r="Z12" s="4">
        <v>271.2</v>
      </c>
      <c r="AA12" s="4">
        <v>334.4</v>
      </c>
      <c r="AB12" s="4">
        <v>303.10000000000002</v>
      </c>
      <c r="AC12" s="4">
        <v>296.5</v>
      </c>
      <c r="AD12" s="4">
        <v>332.2</v>
      </c>
      <c r="AE12" s="4">
        <v>345.9</v>
      </c>
      <c r="AF12" s="4">
        <v>374.3</v>
      </c>
      <c r="AG12" s="4">
        <v>391.3</v>
      </c>
      <c r="AH12" s="4">
        <v>380.4</v>
      </c>
      <c r="AI12" s="4">
        <v>443.8</v>
      </c>
      <c r="AJ12" s="4">
        <v>420.3</v>
      </c>
      <c r="AK12" s="4">
        <v>479.6</v>
      </c>
      <c r="AL12" s="4">
        <v>485</v>
      </c>
    </row>
    <row r="13" spans="2:54" x14ac:dyDescent="0.2">
      <c r="B13" t="s">
        <v>41</v>
      </c>
      <c r="C13" s="11" t="s">
        <v>42</v>
      </c>
      <c r="D13" s="5" t="s">
        <v>43</v>
      </c>
      <c r="E13" s="1" t="s">
        <v>266</v>
      </c>
      <c r="F13" s="1" t="s">
        <v>267</v>
      </c>
      <c r="G13" s="1" t="s">
        <v>44</v>
      </c>
      <c r="H13" s="9">
        <v>2017</v>
      </c>
      <c r="I13" s="1" t="s">
        <v>45</v>
      </c>
      <c r="J13" s="1" t="s">
        <v>122</v>
      </c>
      <c r="K13" s="1" t="s">
        <v>136</v>
      </c>
      <c r="L13" s="1" t="s">
        <v>274</v>
      </c>
      <c r="M13" s="1" t="s">
        <v>271</v>
      </c>
      <c r="Q13" s="6">
        <f>+SUM(R13:AR13)</f>
        <v>170.81800000000001</v>
      </c>
      <c r="R13" s="4">
        <v>0.47599999999999998</v>
      </c>
      <c r="S13" s="4">
        <v>7.9029999999999996</v>
      </c>
      <c r="T13" s="4">
        <v>12.634</v>
      </c>
      <c r="U13" s="4">
        <v>15.342000000000001</v>
      </c>
      <c r="V13" s="4">
        <v>16.035</v>
      </c>
      <c r="W13" s="4">
        <v>20.637</v>
      </c>
      <c r="X13" s="4">
        <v>30.440999999999999</v>
      </c>
      <c r="Y13" s="4">
        <v>30.35</v>
      </c>
      <c r="Z13" s="4">
        <v>37</v>
      </c>
      <c r="AA13" s="4"/>
      <c r="AB13" s="4"/>
    </row>
    <row r="14" spans="2:54" x14ac:dyDescent="0.2">
      <c r="C14" s="11" t="s">
        <v>98</v>
      </c>
      <c r="D14" s="5"/>
      <c r="E14" s="1" t="s">
        <v>271</v>
      </c>
      <c r="F14" s="1" t="s">
        <v>270</v>
      </c>
      <c r="L14" s="1" t="s">
        <v>265</v>
      </c>
    </row>
    <row r="15" spans="2:54" x14ac:dyDescent="0.2">
      <c r="D15" s="5"/>
    </row>
    <row r="16" spans="2:54" x14ac:dyDescent="0.2">
      <c r="D16" s="5"/>
    </row>
    <row r="17" spans="2:26" x14ac:dyDescent="0.2">
      <c r="D17" s="5"/>
    </row>
    <row r="18" spans="2:26" x14ac:dyDescent="0.2">
      <c r="B18" t="s">
        <v>55</v>
      </c>
      <c r="C18" s="5" t="s">
        <v>56</v>
      </c>
      <c r="D18" s="5" t="s">
        <v>57</v>
      </c>
      <c r="G18" s="1" t="s">
        <v>205</v>
      </c>
      <c r="H18" s="9">
        <v>2017</v>
      </c>
      <c r="I18" s="1" t="s">
        <v>35</v>
      </c>
      <c r="J18" s="7">
        <v>14000</v>
      </c>
      <c r="K18" s="18" t="s">
        <v>209</v>
      </c>
      <c r="L18" s="18"/>
      <c r="M18" s="18"/>
      <c r="Q18" s="6">
        <f>+SUM(R18:AR18)</f>
        <v>1030</v>
      </c>
      <c r="R18" s="4">
        <v>8.6</v>
      </c>
      <c r="S18" s="4">
        <v>39.9</v>
      </c>
      <c r="T18" s="4">
        <v>72</v>
      </c>
      <c r="U18" s="4">
        <v>110.2</v>
      </c>
      <c r="V18" s="4">
        <v>128</v>
      </c>
      <c r="W18" s="4">
        <v>154.30000000000001</v>
      </c>
      <c r="X18" s="4">
        <v>161.9</v>
      </c>
      <c r="Y18" s="4">
        <v>169.1</v>
      </c>
      <c r="Z18" s="4">
        <v>186</v>
      </c>
    </row>
    <row r="22" spans="2:26" x14ac:dyDescent="0.2">
      <c r="N22" s="17"/>
    </row>
    <row r="25" spans="2:26" x14ac:dyDescent="0.2">
      <c r="B25" s="10" t="s">
        <v>302</v>
      </c>
    </row>
    <row r="26" spans="2:26" x14ac:dyDescent="0.2">
      <c r="B26" s="10" t="s">
        <v>138</v>
      </c>
    </row>
    <row r="29" spans="2:26" x14ac:dyDescent="0.2">
      <c r="B29" s="19" t="s">
        <v>212</v>
      </c>
      <c r="C29" s="5" t="s">
        <v>213</v>
      </c>
    </row>
    <row r="30" spans="2:26" s="16" customFormat="1" x14ac:dyDescent="0.2">
      <c r="B30" s="23" t="s">
        <v>210</v>
      </c>
      <c r="C30" s="21"/>
      <c r="D30" s="21"/>
      <c r="E30" s="21"/>
      <c r="F30" s="21"/>
      <c r="G30" s="21"/>
      <c r="H30" s="22"/>
      <c r="I30" s="21"/>
      <c r="J30" s="21"/>
      <c r="K30" s="21"/>
      <c r="L30" s="21"/>
      <c r="M30" s="21"/>
      <c r="N30" s="21"/>
    </row>
    <row r="31" spans="2:26" x14ac:dyDescent="0.2">
      <c r="B31" s="5" t="s">
        <v>211</v>
      </c>
    </row>
    <row r="32" spans="2:26" x14ac:dyDescent="0.2">
      <c r="B32" t="s">
        <v>214</v>
      </c>
    </row>
    <row r="33" spans="2:2" x14ac:dyDescent="0.2">
      <c r="B33" t="s">
        <v>215</v>
      </c>
    </row>
    <row r="34" spans="2:2" x14ac:dyDescent="0.2">
      <c r="B34" t="s">
        <v>216</v>
      </c>
    </row>
    <row r="35" spans="2:2" x14ac:dyDescent="0.2">
      <c r="B35" t="s">
        <v>217</v>
      </c>
    </row>
    <row r="36" spans="2:2" x14ac:dyDescent="0.2">
      <c r="B36" t="s">
        <v>218</v>
      </c>
    </row>
    <row r="37" spans="2:2" x14ac:dyDescent="0.2">
      <c r="B37" t="s">
        <v>219</v>
      </c>
    </row>
    <row r="38" spans="2:2" x14ac:dyDescent="0.2">
      <c r="B38" t="s">
        <v>220</v>
      </c>
    </row>
    <row r="39" spans="2:2" x14ac:dyDescent="0.2">
      <c r="B39" t="s">
        <v>221</v>
      </c>
    </row>
    <row r="42" spans="2:2" x14ac:dyDescent="0.2">
      <c r="B42" s="19" t="s">
        <v>222</v>
      </c>
    </row>
    <row r="43" spans="2:2" x14ac:dyDescent="0.2">
      <c r="B43" t="s">
        <v>223</v>
      </c>
    </row>
    <row r="44" spans="2:2" x14ac:dyDescent="0.2">
      <c r="B44" t="s">
        <v>224</v>
      </c>
    </row>
    <row r="45" spans="2:2" x14ac:dyDescent="0.2">
      <c r="B45" t="s">
        <v>225</v>
      </c>
    </row>
    <row r="46" spans="2:2" x14ac:dyDescent="0.2">
      <c r="B46" t="s">
        <v>226</v>
      </c>
    </row>
    <row r="47" spans="2:2" x14ac:dyDescent="0.2">
      <c r="B47" t="s">
        <v>227</v>
      </c>
    </row>
    <row r="48" spans="2:2" x14ac:dyDescent="0.2">
      <c r="B48" t="s">
        <v>228</v>
      </c>
    </row>
    <row r="49" spans="2:14" x14ac:dyDescent="0.2">
      <c r="B49" t="s">
        <v>229</v>
      </c>
    </row>
    <row r="50" spans="2:14" x14ac:dyDescent="0.2">
      <c r="B50" t="s">
        <v>230</v>
      </c>
    </row>
    <row r="51" spans="2:14" x14ac:dyDescent="0.2">
      <c r="B51" t="s">
        <v>231</v>
      </c>
    </row>
    <row r="52" spans="2:14" x14ac:dyDescent="0.2">
      <c r="B52" t="s">
        <v>232</v>
      </c>
    </row>
    <row r="55" spans="2:14" s="16" customFormat="1" x14ac:dyDescent="0.2">
      <c r="B55" s="16" t="s">
        <v>233</v>
      </c>
      <c r="C55" s="21"/>
      <c r="D55" s="21"/>
      <c r="E55" s="21"/>
      <c r="F55" s="21"/>
      <c r="G55" s="21"/>
      <c r="H55" s="22"/>
      <c r="I55" s="21"/>
      <c r="J55" s="21"/>
      <c r="K55" s="21"/>
      <c r="L55" s="21"/>
      <c r="M55" s="21"/>
      <c r="N55" s="21"/>
    </row>
    <row r="57" spans="2:14" x14ac:dyDescent="0.2">
      <c r="B57" s="19" t="s">
        <v>234</v>
      </c>
    </row>
    <row r="58" spans="2:14" x14ac:dyDescent="0.2">
      <c r="B58" t="s">
        <v>235</v>
      </c>
    </row>
    <row r="59" spans="2:14" x14ac:dyDescent="0.2">
      <c r="B59" t="s">
        <v>236</v>
      </c>
    </row>
    <row r="60" spans="2:14" x14ac:dyDescent="0.2">
      <c r="B60" t="s">
        <v>237</v>
      </c>
    </row>
    <row r="61" spans="2:14" x14ac:dyDescent="0.2">
      <c r="B61" t="s">
        <v>238</v>
      </c>
    </row>
    <row r="64" spans="2:14" x14ac:dyDescent="0.2">
      <c r="B64" s="19" t="s">
        <v>239</v>
      </c>
    </row>
    <row r="65" spans="2:2" x14ac:dyDescent="0.2">
      <c r="B65" t="s">
        <v>240</v>
      </c>
    </row>
    <row r="66" spans="2:2" x14ac:dyDescent="0.2">
      <c r="B66" t="s">
        <v>241</v>
      </c>
    </row>
    <row r="67" spans="2:2" x14ac:dyDescent="0.2">
      <c r="B67" t="s">
        <v>242</v>
      </c>
    </row>
    <row r="68" spans="2:2" x14ac:dyDescent="0.2">
      <c r="B68" t="s">
        <v>243</v>
      </c>
    </row>
    <row r="69" spans="2:2" x14ac:dyDescent="0.2">
      <c r="B69" t="s">
        <v>244</v>
      </c>
    </row>
    <row r="70" spans="2:2" x14ac:dyDescent="0.2">
      <c r="B70" t="s">
        <v>245</v>
      </c>
    </row>
    <row r="71" spans="2:2" x14ac:dyDescent="0.2">
      <c r="B71" t="s">
        <v>246</v>
      </c>
    </row>
    <row r="74" spans="2:2" x14ac:dyDescent="0.2">
      <c r="B74" s="19" t="s">
        <v>247</v>
      </c>
    </row>
    <row r="75" spans="2:2" x14ac:dyDescent="0.2">
      <c r="B75" t="s">
        <v>248</v>
      </c>
    </row>
    <row r="76" spans="2:2" x14ac:dyDescent="0.2">
      <c r="B76" t="s">
        <v>249</v>
      </c>
    </row>
    <row r="77" spans="2:2" x14ac:dyDescent="0.2">
      <c r="B77" t="s">
        <v>250</v>
      </c>
    </row>
    <row r="79" spans="2:2" x14ac:dyDescent="0.2">
      <c r="B79" s="19" t="s">
        <v>251</v>
      </c>
    </row>
    <row r="80" spans="2:2" x14ac:dyDescent="0.2">
      <c r="B80" t="s">
        <v>252</v>
      </c>
    </row>
    <row r="81" spans="2:2" x14ac:dyDescent="0.2">
      <c r="B81" t="s">
        <v>253</v>
      </c>
    </row>
    <row r="84" spans="2:2" x14ac:dyDescent="0.2">
      <c r="B84" s="19" t="s">
        <v>254</v>
      </c>
    </row>
    <row r="85" spans="2:2" x14ac:dyDescent="0.2">
      <c r="B85" t="s">
        <v>255</v>
      </c>
    </row>
    <row r="86" spans="2:2" x14ac:dyDescent="0.2">
      <c r="B86" t="s">
        <v>256</v>
      </c>
    </row>
    <row r="87" spans="2:2" x14ac:dyDescent="0.2">
      <c r="B87" t="s">
        <v>257</v>
      </c>
    </row>
    <row r="88" spans="2:2" x14ac:dyDescent="0.2">
      <c r="B88" t="s">
        <v>258</v>
      </c>
    </row>
    <row r="89" spans="2:2" x14ac:dyDescent="0.2">
      <c r="B89" t="s">
        <v>259</v>
      </c>
    </row>
    <row r="90" spans="2:2" x14ac:dyDescent="0.2">
      <c r="B90" t="s">
        <v>260</v>
      </c>
    </row>
  </sheetData>
  <phoneticPr fontId="1" type="noConversion"/>
  <hyperlinks>
    <hyperlink ref="C4" location="'MPS I'!A1" display="MPS I" xr:uid="{E7B00D20-A17B-4470-A572-DE2753DA635B}"/>
    <hyperlink ref="C5" location="'MPS II'!A1" display="MPS II" xr:uid="{793061B1-7237-4369-879E-BE5391596C38}"/>
    <hyperlink ref="C7" location="'MPS III B'!A1" display="MPS III B" xr:uid="{531B1FDF-67E4-4070-90E9-482A1D8110A5}"/>
    <hyperlink ref="C12" location="'MPS VI'!A1" display="MPS VI" xr:uid="{DBDA53D5-A56A-4871-8D2F-711207DFDFF6}"/>
    <hyperlink ref="C10" location="'MPS IV'!A1" display="MPS IV A" xr:uid="{BE5668D7-A25C-45AA-969E-D5C65ECF41D1}"/>
    <hyperlink ref="C13" location="'MPS VII'!A1" display="MPS VII" xr:uid="{919B8FA9-1177-4B06-89AB-78480240104A}"/>
    <hyperlink ref="C14" location="'MPS IX'!A1" display="MPS IX" xr:uid="{E71B61CA-2757-46D1-9B87-835357C5E42F}"/>
    <hyperlink ref="C6" location="'MPS III A'!A1" display="MPS III A " xr:uid="{44CD089E-2D17-40CC-BC67-B7E8E9B1EEE8}"/>
    <hyperlink ref="C9" location="'MPS III D'!A1" display="MPS III D" xr:uid="{6FD7151B-551D-442B-B4CC-023F92AAEFC0}"/>
    <hyperlink ref="B26" location="pipelines!A1" display="pipelines" xr:uid="{B1D50460-083E-486D-93ED-9595826B8D59}"/>
    <hyperlink ref="C8" location="'MPS III C'!A1" display="MPS III C " xr:uid="{38BBD946-290D-4AB0-945D-CAE2C6AC8571}"/>
    <hyperlink ref="B25" location="studies!A1" display="studies" xr:uid="{98B5F200-EC22-476A-9052-1C2FD6390CA0}"/>
    <hyperlink ref="B30" location="GAUCHER!A1" display="Gaucher disease" xr:uid="{106D60E4-436E-4270-8EFA-31A9DC73C56D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AC5EE-BFF0-45B0-8101-97C42785862F}">
  <dimension ref="A1:C34"/>
  <sheetViews>
    <sheetView showGridLines="0" zoomScale="130" zoomScaleNormal="130" workbookViewId="0">
      <selection activeCell="B24" sqref="B24"/>
    </sheetView>
  </sheetViews>
  <sheetFormatPr defaultRowHeight="12.75" x14ac:dyDescent="0.2"/>
  <cols>
    <col min="1" max="1" width="4.7109375" customWidth="1"/>
  </cols>
  <sheetData>
    <row r="1" spans="1:3" x14ac:dyDescent="0.2">
      <c r="A1" s="10" t="s">
        <v>77</v>
      </c>
    </row>
    <row r="3" spans="1:3" x14ac:dyDescent="0.2">
      <c r="C3" t="s">
        <v>210</v>
      </c>
    </row>
    <row r="8" spans="1:3" x14ac:dyDescent="0.2">
      <c r="B8" t="s">
        <v>304</v>
      </c>
    </row>
    <row r="9" spans="1:3" x14ac:dyDescent="0.2">
      <c r="B9" t="s">
        <v>305</v>
      </c>
    </row>
    <row r="10" spans="1:3" x14ac:dyDescent="0.2">
      <c r="B10" t="s">
        <v>306</v>
      </c>
    </row>
    <row r="12" spans="1:3" x14ac:dyDescent="0.2">
      <c r="B12" t="s">
        <v>307</v>
      </c>
    </row>
    <row r="13" spans="1:3" x14ac:dyDescent="0.2">
      <c r="B13" t="s">
        <v>308</v>
      </c>
    </row>
    <row r="14" spans="1:3" x14ac:dyDescent="0.2">
      <c r="B14" t="s">
        <v>309</v>
      </c>
    </row>
    <row r="15" spans="1:3" x14ac:dyDescent="0.2">
      <c r="B15" t="s">
        <v>310</v>
      </c>
    </row>
    <row r="16" spans="1:3" x14ac:dyDescent="0.2">
      <c r="B16" t="s">
        <v>311</v>
      </c>
    </row>
    <row r="17" spans="2:2" x14ac:dyDescent="0.2">
      <c r="B17" t="s">
        <v>312</v>
      </c>
    </row>
    <row r="19" spans="2:2" x14ac:dyDescent="0.2">
      <c r="B19" t="s">
        <v>313</v>
      </c>
    </row>
    <row r="20" spans="2:2" x14ac:dyDescent="0.2">
      <c r="B20" t="s">
        <v>314</v>
      </c>
    </row>
    <row r="21" spans="2:2" x14ac:dyDescent="0.2">
      <c r="B21" t="s">
        <v>315</v>
      </c>
    </row>
    <row r="27" spans="2:2" x14ac:dyDescent="0.2">
      <c r="B27" t="s">
        <v>316</v>
      </c>
    </row>
    <row r="28" spans="2:2" x14ac:dyDescent="0.2">
      <c r="B28" t="s">
        <v>317</v>
      </c>
    </row>
    <row r="29" spans="2:2" x14ac:dyDescent="0.2">
      <c r="B29" t="s">
        <v>318</v>
      </c>
    </row>
    <row r="30" spans="2:2" x14ac:dyDescent="0.2">
      <c r="B30" t="s">
        <v>319</v>
      </c>
    </row>
    <row r="32" spans="2:2" x14ac:dyDescent="0.2">
      <c r="B32" t="s">
        <v>320</v>
      </c>
    </row>
    <row r="33" spans="2:2" x14ac:dyDescent="0.2">
      <c r="B33" t="s">
        <v>321</v>
      </c>
    </row>
    <row r="34" spans="2:2" x14ac:dyDescent="0.2">
      <c r="B34" t="s">
        <v>322</v>
      </c>
    </row>
  </sheetData>
  <hyperlinks>
    <hyperlink ref="A1" location="launches!A1" display="main" xr:uid="{4ED0BA08-7F76-4B9E-956B-50D577797E5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066D9-C10E-4291-B679-48EF3E5D02F3}">
  <dimension ref="A1:C13"/>
  <sheetViews>
    <sheetView showGridLines="0" zoomScale="130" zoomScaleNormal="130" workbookViewId="0">
      <selection activeCell="B30" sqref="B30"/>
    </sheetView>
  </sheetViews>
  <sheetFormatPr defaultRowHeight="12.75" x14ac:dyDescent="0.2"/>
  <cols>
    <col min="1" max="1" width="4.7109375" customWidth="1"/>
  </cols>
  <sheetData>
    <row r="1" spans="1:3" x14ac:dyDescent="0.2">
      <c r="A1" s="10" t="s">
        <v>77</v>
      </c>
    </row>
    <row r="2" spans="1:3" x14ac:dyDescent="0.2">
      <c r="B2" t="s">
        <v>49</v>
      </c>
      <c r="C2" t="s">
        <v>104</v>
      </c>
    </row>
    <row r="3" spans="1:3" x14ac:dyDescent="0.2">
      <c r="B3" t="s">
        <v>50</v>
      </c>
      <c r="C3" t="s">
        <v>103</v>
      </c>
    </row>
    <row r="4" spans="1:3" x14ac:dyDescent="0.2">
      <c r="B4" t="s">
        <v>22</v>
      </c>
      <c r="C4" t="s">
        <v>74</v>
      </c>
    </row>
    <row r="6" spans="1:3" x14ac:dyDescent="0.2">
      <c r="B6" t="s">
        <v>75</v>
      </c>
      <c r="C6" t="s">
        <v>76</v>
      </c>
    </row>
    <row r="7" spans="1:3" x14ac:dyDescent="0.2">
      <c r="C7" t="s">
        <v>78</v>
      </c>
    </row>
    <row r="8" spans="1:3" x14ac:dyDescent="0.2">
      <c r="C8" t="s">
        <v>79</v>
      </c>
    </row>
    <row r="9" spans="1:3" x14ac:dyDescent="0.2">
      <c r="C9" t="s">
        <v>80</v>
      </c>
    </row>
    <row r="10" spans="1:3" x14ac:dyDescent="0.2">
      <c r="C10" t="s">
        <v>81</v>
      </c>
    </row>
    <row r="12" spans="1:3" x14ac:dyDescent="0.2">
      <c r="B12" t="s">
        <v>101</v>
      </c>
      <c r="C12" t="s">
        <v>102</v>
      </c>
    </row>
    <row r="13" spans="1:3" x14ac:dyDescent="0.2">
      <c r="B13" t="s">
        <v>105</v>
      </c>
      <c r="C13" t="s">
        <v>106</v>
      </c>
    </row>
  </sheetData>
  <hyperlinks>
    <hyperlink ref="A1" location="launches!A1" display="main" xr:uid="{B9E30EDE-7F10-4CBA-A6DF-1517C92C55E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BB840-9A92-43D1-AA9D-0E882A9C13B8}">
  <dimension ref="A1:D15"/>
  <sheetViews>
    <sheetView showGridLines="0" zoomScale="130" zoomScaleNormal="130" workbookViewId="0">
      <selection activeCell="B30" sqref="B30"/>
    </sheetView>
  </sheetViews>
  <sheetFormatPr defaultRowHeight="12.75" x14ac:dyDescent="0.2"/>
  <cols>
    <col min="1" max="1" width="4.7109375" customWidth="1"/>
  </cols>
  <sheetData>
    <row r="1" spans="1:4" x14ac:dyDescent="0.2">
      <c r="A1" s="10" t="s">
        <v>77</v>
      </c>
    </row>
    <row r="2" spans="1:4" x14ac:dyDescent="0.2">
      <c r="B2" t="s">
        <v>49</v>
      </c>
      <c r="C2" t="s">
        <v>107</v>
      </c>
      <c r="D2" t="s">
        <v>262</v>
      </c>
    </row>
    <row r="3" spans="1:4" x14ac:dyDescent="0.2">
      <c r="B3" t="s">
        <v>50</v>
      </c>
      <c r="C3" t="s">
        <v>108</v>
      </c>
    </row>
    <row r="4" spans="1:4" x14ac:dyDescent="0.2">
      <c r="B4" t="s">
        <v>22</v>
      </c>
      <c r="C4" t="s">
        <v>30</v>
      </c>
    </row>
    <row r="6" spans="1:4" x14ac:dyDescent="0.2">
      <c r="B6" t="s">
        <v>75</v>
      </c>
      <c r="C6" t="s">
        <v>82</v>
      </c>
    </row>
    <row r="7" spans="1:4" x14ac:dyDescent="0.2">
      <c r="C7" t="s">
        <v>83</v>
      </c>
    </row>
    <row r="8" spans="1:4" x14ac:dyDescent="0.2">
      <c r="C8" t="s">
        <v>84</v>
      </c>
    </row>
    <row r="10" spans="1:4" x14ac:dyDescent="0.2">
      <c r="B10" t="s">
        <v>101</v>
      </c>
      <c r="C10" t="s">
        <v>109</v>
      </c>
    </row>
    <row r="11" spans="1:4" x14ac:dyDescent="0.2">
      <c r="B11" t="s">
        <v>105</v>
      </c>
      <c r="C11" t="s">
        <v>110</v>
      </c>
    </row>
    <row r="15" spans="1:4" x14ac:dyDescent="0.2">
      <c r="C15" t="s">
        <v>261</v>
      </c>
    </row>
  </sheetData>
  <hyperlinks>
    <hyperlink ref="A1" location="launches!A1" display="main" xr:uid="{8D90C922-FEF9-400D-8CA1-3FCDF42CAE7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B8514-DAB4-4E17-9A63-4E52AAA58050}">
  <dimension ref="A1:C33"/>
  <sheetViews>
    <sheetView showGridLines="0" topLeftCell="A9" zoomScale="130" zoomScaleNormal="130" workbookViewId="0">
      <selection activeCell="B30" sqref="B30"/>
    </sheetView>
  </sheetViews>
  <sheetFormatPr defaultRowHeight="12.75" x14ac:dyDescent="0.2"/>
  <cols>
    <col min="1" max="1" width="4.7109375" customWidth="1"/>
  </cols>
  <sheetData>
    <row r="1" spans="1:3" x14ac:dyDescent="0.2">
      <c r="A1" s="10" t="s">
        <v>77</v>
      </c>
    </row>
    <row r="2" spans="1:3" x14ac:dyDescent="0.2">
      <c r="B2" t="s">
        <v>49</v>
      </c>
      <c r="C2" t="s">
        <v>196</v>
      </c>
    </row>
    <row r="3" spans="1:3" x14ac:dyDescent="0.2">
      <c r="B3" t="s">
        <v>50</v>
      </c>
      <c r="C3" t="s">
        <v>197</v>
      </c>
    </row>
    <row r="4" spans="1:3" x14ac:dyDescent="0.2">
      <c r="B4" t="s">
        <v>54</v>
      </c>
      <c r="C4" t="s">
        <v>129</v>
      </c>
    </row>
    <row r="6" spans="1:3" x14ac:dyDescent="0.2">
      <c r="B6" t="s">
        <v>198</v>
      </c>
      <c r="C6" t="s">
        <v>199</v>
      </c>
    </row>
    <row r="7" spans="1:3" x14ac:dyDescent="0.2">
      <c r="B7" t="s">
        <v>194</v>
      </c>
      <c r="C7" t="s">
        <v>195</v>
      </c>
    </row>
    <row r="9" spans="1:3" x14ac:dyDescent="0.2">
      <c r="B9" t="s">
        <v>75</v>
      </c>
      <c r="C9" t="s">
        <v>85</v>
      </c>
    </row>
    <row r="10" spans="1:3" x14ac:dyDescent="0.2">
      <c r="C10" t="s">
        <v>86</v>
      </c>
    </row>
    <row r="11" spans="1:3" x14ac:dyDescent="0.2">
      <c r="C11" t="s">
        <v>87</v>
      </c>
    </row>
    <row r="12" spans="1:3" x14ac:dyDescent="0.2">
      <c r="C12" t="s">
        <v>88</v>
      </c>
    </row>
    <row r="14" spans="1:3" x14ac:dyDescent="0.2">
      <c r="B14" t="s">
        <v>101</v>
      </c>
      <c r="C14" s="13" t="s">
        <v>123</v>
      </c>
    </row>
    <row r="15" spans="1:3" x14ac:dyDescent="0.2">
      <c r="C15" s="13" t="s">
        <v>124</v>
      </c>
    </row>
    <row r="17" spans="2:3" x14ac:dyDescent="0.2">
      <c r="B17" t="s">
        <v>105</v>
      </c>
      <c r="C17" t="s">
        <v>125</v>
      </c>
    </row>
    <row r="21" spans="2:3" x14ac:dyDescent="0.2">
      <c r="B21" t="s">
        <v>193</v>
      </c>
    </row>
    <row r="27" spans="2:3" x14ac:dyDescent="0.2">
      <c r="B27" t="s">
        <v>291</v>
      </c>
    </row>
    <row r="28" spans="2:3" x14ac:dyDescent="0.2">
      <c r="B28" t="s">
        <v>196</v>
      </c>
    </row>
    <row r="29" spans="2:3" x14ac:dyDescent="0.2">
      <c r="B29" t="s">
        <v>292</v>
      </c>
    </row>
    <row r="30" spans="2:3" x14ac:dyDescent="0.2">
      <c r="B30" t="s">
        <v>293</v>
      </c>
    </row>
    <row r="31" spans="2:3" x14ac:dyDescent="0.2">
      <c r="B31" t="s">
        <v>294</v>
      </c>
    </row>
    <row r="32" spans="2:3" x14ac:dyDescent="0.2">
      <c r="B32" t="s">
        <v>295</v>
      </c>
    </row>
    <row r="33" spans="2:2" x14ac:dyDescent="0.2">
      <c r="B33" t="s">
        <v>296</v>
      </c>
    </row>
  </sheetData>
  <hyperlinks>
    <hyperlink ref="A1" location="launches!A1" display="main" xr:uid="{7727414E-41D2-4D76-8768-7F851CE1A2E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A74DA-770D-44E3-8368-FCC2DB637AC0}">
  <dimension ref="A1:C27"/>
  <sheetViews>
    <sheetView showGridLines="0" topLeftCell="A7" zoomScale="130" zoomScaleNormal="130" workbookViewId="0">
      <selection activeCell="B30" sqref="B30"/>
    </sheetView>
  </sheetViews>
  <sheetFormatPr defaultRowHeight="12.75" x14ac:dyDescent="0.2"/>
  <cols>
    <col min="1" max="1" width="4.7109375" customWidth="1"/>
  </cols>
  <sheetData>
    <row r="1" spans="1:3" x14ac:dyDescent="0.2">
      <c r="A1" s="10" t="s">
        <v>77</v>
      </c>
    </row>
    <row r="2" spans="1:3" x14ac:dyDescent="0.2">
      <c r="B2" t="s">
        <v>49</v>
      </c>
      <c r="C2" t="s">
        <v>201</v>
      </c>
    </row>
    <row r="3" spans="1:3" x14ac:dyDescent="0.2">
      <c r="B3" t="s">
        <v>50</v>
      </c>
      <c r="C3" t="s">
        <v>202</v>
      </c>
    </row>
    <row r="4" spans="1:3" x14ac:dyDescent="0.2">
      <c r="B4" t="s">
        <v>54</v>
      </c>
      <c r="C4" t="s">
        <v>128</v>
      </c>
    </row>
    <row r="5" spans="1:3" x14ac:dyDescent="0.2">
      <c r="C5" t="s">
        <v>192</v>
      </c>
    </row>
    <row r="7" spans="1:3" x14ac:dyDescent="0.2">
      <c r="B7" t="s">
        <v>75</v>
      </c>
      <c r="C7" t="s">
        <v>85</v>
      </c>
    </row>
    <row r="8" spans="1:3" x14ac:dyDescent="0.2">
      <c r="C8" t="s">
        <v>86</v>
      </c>
    </row>
    <row r="9" spans="1:3" x14ac:dyDescent="0.2">
      <c r="C9" t="s">
        <v>87</v>
      </c>
    </row>
    <row r="10" spans="1:3" x14ac:dyDescent="0.2">
      <c r="C10" t="s">
        <v>88</v>
      </c>
    </row>
    <row r="12" spans="1:3" x14ac:dyDescent="0.2">
      <c r="B12" t="s">
        <v>101</v>
      </c>
      <c r="C12" s="13" t="s">
        <v>190</v>
      </c>
    </row>
    <row r="13" spans="1:3" x14ac:dyDescent="0.2">
      <c r="C13" s="13" t="s">
        <v>191</v>
      </c>
    </row>
    <row r="14" spans="1:3" x14ac:dyDescent="0.2">
      <c r="C14" s="13">
        <f>3600/200</f>
        <v>18</v>
      </c>
    </row>
    <row r="15" spans="1:3" x14ac:dyDescent="0.2">
      <c r="C15" s="13">
        <f>+C14*15</f>
        <v>270</v>
      </c>
    </row>
    <row r="17" spans="2:2" x14ac:dyDescent="0.2">
      <c r="B17" t="s">
        <v>105</v>
      </c>
    </row>
    <row r="23" spans="2:2" x14ac:dyDescent="0.2">
      <c r="B23" t="s">
        <v>297</v>
      </c>
    </row>
    <row r="24" spans="2:2" x14ac:dyDescent="0.2">
      <c r="B24" t="s">
        <v>201</v>
      </c>
    </row>
    <row r="25" spans="2:2" x14ac:dyDescent="0.2">
      <c r="B25" t="s">
        <v>298</v>
      </c>
    </row>
    <row r="26" spans="2:2" x14ac:dyDescent="0.2">
      <c r="B26" t="s">
        <v>187</v>
      </c>
    </row>
    <row r="27" spans="2:2" x14ac:dyDescent="0.2">
      <c r="B27" t="s">
        <v>299</v>
      </c>
    </row>
  </sheetData>
  <hyperlinks>
    <hyperlink ref="A1" location="launches!A1" display="main" xr:uid="{8C00CA7E-9B25-482A-A464-04A44D33072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AC0C4-46B0-4CF6-A068-2D0CBDF8D6C7}">
  <dimension ref="A1:C19"/>
  <sheetViews>
    <sheetView showGridLines="0" zoomScale="130" zoomScaleNormal="130" workbookViewId="0">
      <selection activeCell="B30" sqref="B30"/>
    </sheetView>
  </sheetViews>
  <sheetFormatPr defaultRowHeight="12.75" x14ac:dyDescent="0.2"/>
  <cols>
    <col min="1" max="1" width="4.7109375" customWidth="1"/>
  </cols>
  <sheetData>
    <row r="1" spans="1:3" x14ac:dyDescent="0.2">
      <c r="A1" s="10" t="s">
        <v>77</v>
      </c>
    </row>
    <row r="2" spans="1:3" x14ac:dyDescent="0.2">
      <c r="B2" t="s">
        <v>49</v>
      </c>
    </row>
    <row r="3" spans="1:3" x14ac:dyDescent="0.2">
      <c r="B3" t="s">
        <v>50</v>
      </c>
    </row>
    <row r="4" spans="1:3" x14ac:dyDescent="0.2">
      <c r="B4" t="s">
        <v>54</v>
      </c>
      <c r="C4" t="s">
        <v>208</v>
      </c>
    </row>
    <row r="6" spans="1:3" x14ac:dyDescent="0.2">
      <c r="B6" t="s">
        <v>282</v>
      </c>
      <c r="C6" t="s">
        <v>283</v>
      </c>
    </row>
    <row r="7" spans="1:3" x14ac:dyDescent="0.2">
      <c r="C7" t="s">
        <v>284</v>
      </c>
    </row>
    <row r="9" spans="1:3" x14ac:dyDescent="0.2">
      <c r="B9" t="s">
        <v>285</v>
      </c>
      <c r="C9" t="s">
        <v>286</v>
      </c>
    </row>
    <row r="14" spans="1:3" x14ac:dyDescent="0.2">
      <c r="B14" t="s">
        <v>101</v>
      </c>
      <c r="C14" s="13"/>
    </row>
    <row r="15" spans="1:3" x14ac:dyDescent="0.2">
      <c r="C15" s="13"/>
    </row>
    <row r="16" spans="1:3" x14ac:dyDescent="0.2">
      <c r="C16" s="13"/>
    </row>
    <row r="17" spans="2:3" x14ac:dyDescent="0.2">
      <c r="C17" s="13"/>
    </row>
    <row r="19" spans="2:3" x14ac:dyDescent="0.2">
      <c r="B19" t="s">
        <v>105</v>
      </c>
    </row>
  </sheetData>
  <hyperlinks>
    <hyperlink ref="A1" location="launches!A1" display="main" xr:uid="{70C59E6F-9411-446A-81BC-2D0FDFC287A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49D9F-813C-4ED1-89B3-6C5F05399351}">
  <dimension ref="A1:C17"/>
  <sheetViews>
    <sheetView showGridLines="0" zoomScale="130" zoomScaleNormal="130" workbookViewId="0">
      <selection activeCell="B30" sqref="B30"/>
    </sheetView>
  </sheetViews>
  <sheetFormatPr defaultRowHeight="12.75" x14ac:dyDescent="0.2"/>
  <cols>
    <col min="1" max="1" width="4.7109375" customWidth="1"/>
  </cols>
  <sheetData>
    <row r="1" spans="1:3" x14ac:dyDescent="0.2">
      <c r="A1" s="10" t="s">
        <v>77</v>
      </c>
    </row>
    <row r="2" spans="1:3" x14ac:dyDescent="0.2">
      <c r="B2" t="s">
        <v>49</v>
      </c>
    </row>
    <row r="3" spans="1:3" x14ac:dyDescent="0.2">
      <c r="B3" t="s">
        <v>50</v>
      </c>
    </row>
    <row r="4" spans="1:3" x14ac:dyDescent="0.2">
      <c r="B4" t="s">
        <v>54</v>
      </c>
      <c r="C4" t="s">
        <v>207</v>
      </c>
    </row>
    <row r="7" spans="1:3" x14ac:dyDescent="0.2">
      <c r="B7" t="s">
        <v>287</v>
      </c>
      <c r="C7" t="s">
        <v>288</v>
      </c>
    </row>
    <row r="8" spans="1:3" x14ac:dyDescent="0.2">
      <c r="C8" t="s">
        <v>289</v>
      </c>
    </row>
    <row r="10" spans="1:3" x14ac:dyDescent="0.2">
      <c r="B10" t="s">
        <v>285</v>
      </c>
      <c r="C10" t="s">
        <v>290</v>
      </c>
    </row>
    <row r="12" spans="1:3" x14ac:dyDescent="0.2">
      <c r="B12" t="s">
        <v>101</v>
      </c>
      <c r="C12" s="13"/>
    </row>
    <row r="13" spans="1:3" x14ac:dyDescent="0.2">
      <c r="C13" s="13"/>
    </row>
    <row r="14" spans="1:3" x14ac:dyDescent="0.2">
      <c r="C14" s="13"/>
    </row>
    <row r="15" spans="1:3" x14ac:dyDescent="0.2">
      <c r="C15" s="13"/>
    </row>
    <row r="17" spans="2:2" x14ac:dyDescent="0.2">
      <c r="B17" t="s">
        <v>105</v>
      </c>
    </row>
  </sheetData>
  <hyperlinks>
    <hyperlink ref="A1" location="launches!A1" display="main" xr:uid="{53FCB07E-CA6E-4E49-9277-B222151C9E5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298CB-9614-4533-BF2B-E9E599026166}">
  <dimension ref="A1:C12"/>
  <sheetViews>
    <sheetView showGridLines="0" zoomScale="130" zoomScaleNormal="130" workbookViewId="0">
      <selection activeCell="B30" sqref="B30"/>
    </sheetView>
  </sheetViews>
  <sheetFormatPr defaultRowHeight="12.75" x14ac:dyDescent="0.2"/>
  <cols>
    <col min="1" max="1" width="4.7109375" customWidth="1"/>
  </cols>
  <sheetData>
    <row r="1" spans="1:3" x14ac:dyDescent="0.2">
      <c r="A1" s="10" t="s">
        <v>77</v>
      </c>
    </row>
    <row r="2" spans="1:3" x14ac:dyDescent="0.2">
      <c r="B2" t="s">
        <v>49</v>
      </c>
      <c r="C2" t="s">
        <v>111</v>
      </c>
    </row>
    <row r="3" spans="1:3" x14ac:dyDescent="0.2">
      <c r="B3" t="s">
        <v>50</v>
      </c>
      <c r="C3" t="s">
        <v>112</v>
      </c>
    </row>
    <row r="4" spans="1:3" x14ac:dyDescent="0.2">
      <c r="B4" t="s">
        <v>54</v>
      </c>
      <c r="C4" t="s">
        <v>89</v>
      </c>
    </row>
    <row r="7" spans="1:3" x14ac:dyDescent="0.2">
      <c r="B7" t="s">
        <v>75</v>
      </c>
      <c r="C7" t="s">
        <v>90</v>
      </c>
    </row>
    <row r="8" spans="1:3" x14ac:dyDescent="0.2">
      <c r="C8" t="s">
        <v>91</v>
      </c>
    </row>
    <row r="9" spans="1:3" x14ac:dyDescent="0.2">
      <c r="C9" t="s">
        <v>92</v>
      </c>
    </row>
    <row r="11" spans="1:3" x14ac:dyDescent="0.2">
      <c r="B11" t="s">
        <v>113</v>
      </c>
      <c r="C11" t="s">
        <v>114</v>
      </c>
    </row>
    <row r="12" spans="1:3" x14ac:dyDescent="0.2">
      <c r="B12" t="s">
        <v>105</v>
      </c>
      <c r="C12" t="s">
        <v>115</v>
      </c>
    </row>
  </sheetData>
  <hyperlinks>
    <hyperlink ref="A1" location="launches!A1" display="main" xr:uid="{1BA30460-0945-4A38-B1BF-57BD7B6C7DA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3FCEE-7442-46C5-94D9-E73DFD18BE28}">
  <dimension ref="A1:C15"/>
  <sheetViews>
    <sheetView showGridLines="0" zoomScale="130" zoomScaleNormal="130" workbookViewId="0">
      <selection activeCell="B30" sqref="B30"/>
    </sheetView>
  </sheetViews>
  <sheetFormatPr defaultRowHeight="12.75" x14ac:dyDescent="0.2"/>
  <cols>
    <col min="1" max="1" width="4.7109375" customWidth="1"/>
  </cols>
  <sheetData>
    <row r="1" spans="1:3" x14ac:dyDescent="0.2">
      <c r="A1" s="10" t="s">
        <v>77</v>
      </c>
    </row>
    <row r="2" spans="1:3" x14ac:dyDescent="0.2">
      <c r="B2" t="s">
        <v>49</v>
      </c>
      <c r="C2" t="s">
        <v>116</v>
      </c>
    </row>
    <row r="3" spans="1:3" x14ac:dyDescent="0.2">
      <c r="B3" t="s">
        <v>50</v>
      </c>
      <c r="C3" t="s">
        <v>117</v>
      </c>
    </row>
    <row r="4" spans="1:3" x14ac:dyDescent="0.2">
      <c r="B4" t="s">
        <v>54</v>
      </c>
      <c r="C4" t="s">
        <v>39</v>
      </c>
    </row>
    <row r="6" spans="1:3" x14ac:dyDescent="0.2">
      <c r="C6" t="s">
        <v>263</v>
      </c>
    </row>
    <row r="9" spans="1:3" x14ac:dyDescent="0.2">
      <c r="B9" t="s">
        <v>75</v>
      </c>
      <c r="C9" t="s">
        <v>93</v>
      </c>
    </row>
    <row r="10" spans="1:3" x14ac:dyDescent="0.2">
      <c r="C10" t="s">
        <v>94</v>
      </c>
    </row>
    <row r="11" spans="1:3" x14ac:dyDescent="0.2">
      <c r="C11" t="s">
        <v>95</v>
      </c>
    </row>
    <row r="14" spans="1:3" x14ac:dyDescent="0.2">
      <c r="B14" t="s">
        <v>101</v>
      </c>
      <c r="C14" t="s">
        <v>118</v>
      </c>
    </row>
    <row r="15" spans="1:3" x14ac:dyDescent="0.2">
      <c r="B15" t="s">
        <v>105</v>
      </c>
      <c r="C15" t="s">
        <v>119</v>
      </c>
    </row>
  </sheetData>
  <hyperlinks>
    <hyperlink ref="A1" location="launches!A1" display="main" xr:uid="{FA19E954-9E21-4B59-8B61-284A3406450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FE7D2-4E22-4560-A138-0E4157628E83}">
  <dimension ref="A1:C13"/>
  <sheetViews>
    <sheetView showGridLines="0" zoomScale="130" zoomScaleNormal="130" workbookViewId="0">
      <selection activeCell="B30" sqref="B30"/>
    </sheetView>
  </sheetViews>
  <sheetFormatPr defaultRowHeight="12.75" x14ac:dyDescent="0.2"/>
  <cols>
    <col min="1" max="1" width="4.7109375" customWidth="1"/>
  </cols>
  <sheetData>
    <row r="1" spans="1:3" x14ac:dyDescent="0.2">
      <c r="A1" s="10" t="s">
        <v>77</v>
      </c>
    </row>
    <row r="2" spans="1:3" x14ac:dyDescent="0.2">
      <c r="B2" t="s">
        <v>49</v>
      </c>
      <c r="C2" t="s">
        <v>120</v>
      </c>
    </row>
    <row r="3" spans="1:3" x14ac:dyDescent="0.2">
      <c r="B3" t="s">
        <v>50</v>
      </c>
      <c r="C3" t="s">
        <v>121</v>
      </c>
    </row>
    <row r="4" spans="1:3" x14ac:dyDescent="0.2">
      <c r="B4" t="s">
        <v>51</v>
      </c>
      <c r="C4" t="s">
        <v>52</v>
      </c>
    </row>
    <row r="5" spans="1:3" x14ac:dyDescent="0.2">
      <c r="C5" t="s">
        <v>53</v>
      </c>
    </row>
    <row r="8" spans="1:3" x14ac:dyDescent="0.2">
      <c r="B8" t="s">
        <v>75</v>
      </c>
      <c r="C8" t="s">
        <v>96</v>
      </c>
    </row>
    <row r="9" spans="1:3" x14ac:dyDescent="0.2">
      <c r="C9" t="s">
        <v>97</v>
      </c>
    </row>
    <row r="12" spans="1:3" x14ac:dyDescent="0.2">
      <c r="B12" t="s">
        <v>101</v>
      </c>
      <c r="C12" t="s">
        <v>122</v>
      </c>
    </row>
    <row r="13" spans="1:3" x14ac:dyDescent="0.2">
      <c r="B13" t="s">
        <v>105</v>
      </c>
      <c r="C13" t="s">
        <v>135</v>
      </c>
    </row>
  </sheetData>
  <hyperlinks>
    <hyperlink ref="A1" location="launches!A1" display="main" xr:uid="{3C14550C-EFA6-484A-A0FE-EE05E34E5BA9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1D0D1-0B1C-4160-9F90-802532432FE7}">
  <dimension ref="A1:C9"/>
  <sheetViews>
    <sheetView showGridLines="0" zoomScale="130" zoomScaleNormal="130" workbookViewId="0">
      <selection activeCell="B30" sqref="B30"/>
    </sheetView>
  </sheetViews>
  <sheetFormatPr defaultRowHeight="12.75" x14ac:dyDescent="0.2"/>
  <cols>
    <col min="1" max="1" width="4.7109375" customWidth="1"/>
  </cols>
  <sheetData>
    <row r="1" spans="1:3" x14ac:dyDescent="0.2">
      <c r="A1" s="10" t="s">
        <v>77</v>
      </c>
    </row>
    <row r="2" spans="1:3" x14ac:dyDescent="0.2">
      <c r="B2" t="s">
        <v>49</v>
      </c>
    </row>
    <row r="3" spans="1:3" x14ac:dyDescent="0.2">
      <c r="B3" t="s">
        <v>50</v>
      </c>
    </row>
    <row r="4" spans="1:3" x14ac:dyDescent="0.2">
      <c r="B4" t="s">
        <v>51</v>
      </c>
      <c r="C4" t="s">
        <v>98</v>
      </c>
    </row>
    <row r="8" spans="1:3" x14ac:dyDescent="0.2">
      <c r="B8" t="s">
        <v>75</v>
      </c>
      <c r="C8" t="s">
        <v>99</v>
      </c>
    </row>
    <row r="9" spans="1:3" x14ac:dyDescent="0.2">
      <c r="C9" t="s">
        <v>100</v>
      </c>
    </row>
  </sheetData>
  <hyperlinks>
    <hyperlink ref="A1" location="launches!A1" display="main" xr:uid="{EF6D345A-A960-46C3-8116-9235202508CA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19979-7ECA-4E54-A749-D196AFCAB98B}">
  <dimension ref="A1:F14"/>
  <sheetViews>
    <sheetView showGridLines="0" zoomScale="115" zoomScaleNormal="115" workbookViewId="0">
      <pane xSplit="3" ySplit="2" topLeftCell="D3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RowHeight="12.75" x14ac:dyDescent="0.2"/>
  <cols>
    <col min="1" max="1" width="4.7109375" customWidth="1"/>
    <col min="2" max="2" width="9.42578125" bestFit="1" customWidth="1"/>
    <col min="3" max="3" width="13.28515625" customWidth="1"/>
    <col min="4" max="4" width="30.5703125" bestFit="1" customWidth="1"/>
    <col min="5" max="5" width="34.7109375" bestFit="1" customWidth="1"/>
    <col min="6" max="6" width="83.28515625" bestFit="1" customWidth="1"/>
  </cols>
  <sheetData>
    <row r="1" spans="1:6" x14ac:dyDescent="0.2">
      <c r="A1" s="10" t="s">
        <v>77</v>
      </c>
    </row>
    <row r="2" spans="1:6" x14ac:dyDescent="0.2">
      <c r="B2" s="14" t="s">
        <v>22</v>
      </c>
      <c r="C2" s="14" t="s">
        <v>139</v>
      </c>
      <c r="D2" s="14" t="s">
        <v>140</v>
      </c>
      <c r="E2" s="14" t="s">
        <v>141</v>
      </c>
      <c r="F2" s="14" t="s">
        <v>142</v>
      </c>
    </row>
    <row r="3" spans="1:6" x14ac:dyDescent="0.2">
      <c r="B3" t="s">
        <v>23</v>
      </c>
      <c r="C3" t="s">
        <v>143</v>
      </c>
      <c r="D3" t="s">
        <v>144</v>
      </c>
      <c r="E3" t="s">
        <v>145</v>
      </c>
      <c r="F3" t="s">
        <v>146</v>
      </c>
    </row>
    <row r="4" spans="1:6" x14ac:dyDescent="0.2">
      <c r="B4" t="s">
        <v>23</v>
      </c>
      <c r="C4" t="s">
        <v>147</v>
      </c>
      <c r="D4" t="s">
        <v>148</v>
      </c>
      <c r="E4" t="s">
        <v>149</v>
      </c>
      <c r="F4" t="s">
        <v>150</v>
      </c>
    </row>
    <row r="5" spans="1:6" x14ac:dyDescent="0.2">
      <c r="B5" t="s">
        <v>23</v>
      </c>
      <c r="C5" t="s">
        <v>151</v>
      </c>
      <c r="D5" t="s">
        <v>152</v>
      </c>
      <c r="E5" t="s">
        <v>153</v>
      </c>
      <c r="F5" t="s">
        <v>154</v>
      </c>
    </row>
    <row r="6" spans="1:6" x14ac:dyDescent="0.2">
      <c r="B6" t="s">
        <v>23</v>
      </c>
      <c r="C6" t="s">
        <v>155</v>
      </c>
      <c r="D6" t="s">
        <v>156</v>
      </c>
      <c r="E6" t="s">
        <v>157</v>
      </c>
      <c r="F6" t="s">
        <v>158</v>
      </c>
    </row>
    <row r="7" spans="1:6" s="16" customFormat="1" x14ac:dyDescent="0.2">
      <c r="B7" s="16" t="s">
        <v>30</v>
      </c>
      <c r="C7" s="16" t="s">
        <v>182</v>
      </c>
      <c r="D7" s="16" t="s">
        <v>183</v>
      </c>
      <c r="E7" s="16" t="s">
        <v>184</v>
      </c>
      <c r="F7" s="16" t="s">
        <v>185</v>
      </c>
    </row>
    <row r="8" spans="1:6" x14ac:dyDescent="0.2">
      <c r="B8" t="s">
        <v>30</v>
      </c>
      <c r="C8" t="s">
        <v>159</v>
      </c>
      <c r="D8" t="s">
        <v>148</v>
      </c>
      <c r="E8" t="s">
        <v>165</v>
      </c>
      <c r="F8" t="s">
        <v>167</v>
      </c>
    </row>
    <row r="9" spans="1:6" x14ac:dyDescent="0.2">
      <c r="B9" t="s">
        <v>30</v>
      </c>
      <c r="C9" t="s">
        <v>160</v>
      </c>
      <c r="D9" t="s">
        <v>161</v>
      </c>
      <c r="E9" t="s">
        <v>164</v>
      </c>
      <c r="F9" t="s">
        <v>168</v>
      </c>
    </row>
    <row r="10" spans="1:6" x14ac:dyDescent="0.2">
      <c r="B10" t="s">
        <v>30</v>
      </c>
      <c r="C10" t="s">
        <v>162</v>
      </c>
      <c r="D10" t="s">
        <v>166</v>
      </c>
      <c r="E10" t="s">
        <v>163</v>
      </c>
      <c r="F10" t="s">
        <v>169</v>
      </c>
    </row>
    <row r="11" spans="1:6" x14ac:dyDescent="0.2">
      <c r="B11" t="s">
        <v>186</v>
      </c>
      <c r="C11" t="s">
        <v>172</v>
      </c>
      <c r="D11" t="s">
        <v>171</v>
      </c>
      <c r="E11" s="15" t="s">
        <v>177</v>
      </c>
      <c r="F11" t="s">
        <v>179</v>
      </c>
    </row>
    <row r="12" spans="1:6" s="16" customFormat="1" x14ac:dyDescent="0.2">
      <c r="B12" s="16" t="s">
        <v>186</v>
      </c>
      <c r="C12" s="16" t="s">
        <v>173</v>
      </c>
      <c r="D12" s="16" t="s">
        <v>175</v>
      </c>
      <c r="E12" s="16" t="s">
        <v>153</v>
      </c>
      <c r="F12" s="16" t="s">
        <v>180</v>
      </c>
    </row>
    <row r="13" spans="1:6" x14ac:dyDescent="0.2">
      <c r="B13" t="s">
        <v>170</v>
      </c>
      <c r="C13" t="s">
        <v>174</v>
      </c>
      <c r="D13" t="s">
        <v>176</v>
      </c>
      <c r="E13" t="s">
        <v>178</v>
      </c>
      <c r="F13" t="s">
        <v>181</v>
      </c>
    </row>
    <row r="14" spans="1:6" x14ac:dyDescent="0.2">
      <c r="B14" t="s">
        <v>186</v>
      </c>
      <c r="C14" t="s">
        <v>187</v>
      </c>
      <c r="D14" t="s">
        <v>148</v>
      </c>
      <c r="E14" t="s">
        <v>188</v>
      </c>
      <c r="F14" t="s">
        <v>189</v>
      </c>
    </row>
  </sheetData>
  <hyperlinks>
    <hyperlink ref="A1" location="launches!A1" display="main" xr:uid="{2587E941-7741-4646-9AB8-2B7AD3692851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5AD9D-0407-40BE-8E4B-3A95C67EAAA6}">
  <dimension ref="A1:D4"/>
  <sheetViews>
    <sheetView showGridLines="0" zoomScale="130" zoomScaleNormal="130" workbookViewId="0">
      <selection activeCell="B30" sqref="B30"/>
    </sheetView>
  </sheetViews>
  <sheetFormatPr defaultRowHeight="12.75" x14ac:dyDescent="0.2"/>
  <cols>
    <col min="1" max="1" width="4.7109375" customWidth="1"/>
    <col min="3" max="3" width="9.7109375" bestFit="1" customWidth="1"/>
  </cols>
  <sheetData>
    <row r="1" spans="1:4" x14ac:dyDescent="0.2">
      <c r="A1" s="10" t="s">
        <v>77</v>
      </c>
    </row>
    <row r="4" spans="1:4" x14ac:dyDescent="0.2">
      <c r="C4" t="s">
        <v>303</v>
      </c>
      <c r="D4" t="s">
        <v>301</v>
      </c>
    </row>
  </sheetData>
  <hyperlinks>
    <hyperlink ref="A1" location="launches!A1" display="main" xr:uid="{EA0774CD-9C98-4830-9D7D-802546B296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launches</vt:lpstr>
      <vt:lpstr>GAUCHER</vt:lpstr>
      <vt:lpstr>MPS I</vt:lpstr>
      <vt:lpstr>MPS II</vt:lpstr>
      <vt:lpstr>MPS III A</vt:lpstr>
      <vt:lpstr>MPS III B</vt:lpstr>
      <vt:lpstr>MPS III C</vt:lpstr>
      <vt:lpstr>MPS III D</vt:lpstr>
      <vt:lpstr>MPS IV</vt:lpstr>
      <vt:lpstr>MPS VI</vt:lpstr>
      <vt:lpstr>MPS VII</vt:lpstr>
      <vt:lpstr>MPS IX</vt:lpstr>
      <vt:lpstr>pipelines</vt:lpstr>
      <vt:lpstr>studies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Franciszek Kessler</dc:creator>
  <cp:lastModifiedBy>Franciszek Kessler</cp:lastModifiedBy>
  <dcterms:created xsi:type="dcterms:W3CDTF">2026-03-03T12:22:21Z</dcterms:created>
  <dcterms:modified xsi:type="dcterms:W3CDTF">2026-06-05T20:49:12Z</dcterms:modified>
</cp:coreProperties>
</file>