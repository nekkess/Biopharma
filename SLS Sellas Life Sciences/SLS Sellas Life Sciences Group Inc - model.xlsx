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1685cd5063f9d2/Dokumenty/Models stocks NEW/"/>
    </mc:Choice>
  </mc:AlternateContent>
  <xr:revisionPtr revIDLastSave="825" documentId="8_{568A5367-C92F-46A3-83B7-6D502656B98E}" xr6:coauthVersionLast="47" xr6:coauthVersionMax="47" xr10:uidLastSave="{1CCA64C5-CDF0-4239-ABDF-43C2CCAF77F2}"/>
  <bookViews>
    <workbookView xWindow="11424" yWindow="0" windowWidth="11712" windowHeight="13776" xr2:uid="{C2A537D2-81CC-41DE-90E3-F8EDF7DA01A3}"/>
  </bookViews>
  <sheets>
    <sheet name="Main" sheetId="1" r:id="rId1"/>
    <sheet name="Model" sheetId="2" r:id="rId2"/>
    <sheet name="GPS" sheetId="4" r:id="rId3"/>
    <sheet name="SLS009" sheetId="3" r:id="rId4"/>
    <sheet name="OCV-501" sheetId="5" r:id="rId5"/>
    <sheet name="nelipepimut-S" sheetId="7" r:id="rId6"/>
    <sheet name="people" sheetId="6" r:id="rId7"/>
    <sheet name="peptide-vaccines" sheetId="8" r:id="rId8"/>
    <sheet name="sourc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BG32" i="2"/>
  <c r="BG31" i="2"/>
  <c r="AI25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AI33" i="2"/>
  <c r="AK21" i="2"/>
  <c r="AL21" i="2"/>
  <c r="AM21" i="2"/>
  <c r="AN21" i="2"/>
  <c r="AO21" i="2"/>
  <c r="AP21" i="2"/>
  <c r="AP22" i="2" s="1"/>
  <c r="AQ21" i="2"/>
  <c r="AQ22" i="2" s="1"/>
  <c r="AR21" i="2"/>
  <c r="AR22" i="2" s="1"/>
  <c r="AS21" i="2"/>
  <c r="AS22" i="2" s="1"/>
  <c r="AT21" i="2"/>
  <c r="AT22" i="2" s="1"/>
  <c r="AU21" i="2"/>
  <c r="AU22" i="2" s="1"/>
  <c r="AV21" i="2"/>
  <c r="AW21" i="2" s="1"/>
  <c r="AK22" i="2"/>
  <c r="AK23" i="2" s="1"/>
  <c r="AK24" i="2" s="1"/>
  <c r="AL22" i="2"/>
  <c r="AL23" i="2" s="1"/>
  <c r="AL24" i="2" s="1"/>
  <c r="AM22" i="2"/>
  <c r="AM23" i="2" s="1"/>
  <c r="AM24" i="2" s="1"/>
  <c r="AN22" i="2"/>
  <c r="AO22" i="2"/>
  <c r="AJ23" i="2"/>
  <c r="AJ24" i="2"/>
  <c r="AI24" i="2"/>
  <c r="AH26" i="2"/>
  <c r="AI26" i="2" s="1"/>
  <c r="AI23" i="2"/>
  <c r="AJ22" i="2"/>
  <c r="AJ21" i="2"/>
  <c r="AI22" i="2"/>
  <c r="AJ19" i="2"/>
  <c r="AO19" i="2"/>
  <c r="AP19" i="2"/>
  <c r="AQ19" i="2"/>
  <c r="AR19" i="2"/>
  <c r="AS19" i="2"/>
  <c r="AT19" i="2"/>
  <c r="AU19" i="2"/>
  <c r="AV19" i="2"/>
  <c r="BA19" i="2"/>
  <c r="BB19" i="2"/>
  <c r="BC19" i="2"/>
  <c r="AJ20" i="2"/>
  <c r="AK20" i="2"/>
  <c r="AK19" i="2" s="1"/>
  <c r="AL20" i="2"/>
  <c r="AL19" i="2" s="1"/>
  <c r="AM20" i="2"/>
  <c r="AM19" i="2" s="1"/>
  <c r="AN20" i="2"/>
  <c r="AN19" i="2" s="1"/>
  <c r="AO20" i="2"/>
  <c r="AP20" i="2"/>
  <c r="AQ20" i="2"/>
  <c r="AR20" i="2"/>
  <c r="AS20" i="2"/>
  <c r="AT20" i="2"/>
  <c r="AU20" i="2"/>
  <c r="AV20" i="2"/>
  <c r="AW20" i="2"/>
  <c r="AW19" i="2" s="1"/>
  <c r="AX20" i="2"/>
  <c r="AX19" i="2" s="1"/>
  <c r="AY20" i="2"/>
  <c r="AY19" i="2" s="1"/>
  <c r="AZ20" i="2"/>
  <c r="AZ19" i="2" s="1"/>
  <c r="BA20" i="2"/>
  <c r="BB20" i="2"/>
  <c r="BC20" i="2"/>
  <c r="AI19" i="2"/>
  <c r="AI20" i="2"/>
  <c r="AI15" i="2"/>
  <c r="AI17" i="2" s="1"/>
  <c r="AI16" i="2" s="1"/>
  <c r="AJ8" i="2"/>
  <c r="AK8" i="2" s="1"/>
  <c r="M15" i="1"/>
  <c r="M10" i="1"/>
  <c r="M9" i="1"/>
  <c r="M12" i="1" s="1"/>
  <c r="L15" i="1"/>
  <c r="L10" i="1"/>
  <c r="L9" i="1"/>
  <c r="L12" i="1" s="1"/>
  <c r="AA2" i="2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AU23" i="2" l="1"/>
  <c r="AU24" i="2"/>
  <c r="AT23" i="2"/>
  <c r="AT24" i="2" s="1"/>
  <c r="AS23" i="2"/>
  <c r="AS24" i="2" s="1"/>
  <c r="AR23" i="2"/>
  <c r="AR24" i="2" s="1"/>
  <c r="AQ23" i="2"/>
  <c r="AQ24" i="2" s="1"/>
  <c r="AP23" i="2"/>
  <c r="AP24" i="2" s="1"/>
  <c r="AX21" i="2"/>
  <c r="AW22" i="2"/>
  <c r="AO23" i="2"/>
  <c r="AO24" i="2" s="1"/>
  <c r="AV22" i="2"/>
  <c r="AN23" i="2"/>
  <c r="AN24" i="2" s="1"/>
  <c r="AJ15" i="2"/>
  <c r="AJ17" i="2" s="1"/>
  <c r="AJ16" i="2" s="1"/>
  <c r="AL8" i="2"/>
  <c r="AK15" i="2"/>
  <c r="AJ29" i="2"/>
  <c r="AV23" i="2" l="1"/>
  <c r="AV24" i="2"/>
  <c r="AW23" i="2"/>
  <c r="AW24" i="2"/>
  <c r="AY21" i="2"/>
  <c r="AX22" i="2"/>
  <c r="AK17" i="2"/>
  <c r="AK16" i="2" s="1"/>
  <c r="AK29" i="2"/>
  <c r="AL15" i="2"/>
  <c r="AM8" i="2"/>
  <c r="AX23" i="2" l="1"/>
  <c r="AX24" i="2"/>
  <c r="AZ21" i="2"/>
  <c r="AY22" i="2"/>
  <c r="AM15" i="2"/>
  <c r="AN8" i="2"/>
  <c r="AL17" i="2"/>
  <c r="AL16" i="2" s="1"/>
  <c r="AL29" i="2"/>
  <c r="AY23" i="2" l="1"/>
  <c r="AY24" i="2"/>
  <c r="BA21" i="2"/>
  <c r="AZ22" i="2"/>
  <c r="AN15" i="2"/>
  <c r="AO8" i="2"/>
  <c r="AM17" i="2"/>
  <c r="AM16" i="2" s="1"/>
  <c r="AM29" i="2"/>
  <c r="AZ23" i="2" l="1"/>
  <c r="AZ24" i="2" s="1"/>
  <c r="BB21" i="2"/>
  <c r="BA22" i="2"/>
  <c r="AO15" i="2"/>
  <c r="AP8" i="2"/>
  <c r="AN29" i="2"/>
  <c r="AN17" i="2"/>
  <c r="AN16" i="2" s="1"/>
  <c r="BA23" i="2" l="1"/>
  <c r="BA24" i="2" s="1"/>
  <c r="BB22" i="2"/>
  <c r="BC21" i="2"/>
  <c r="BC22" i="2" s="1"/>
  <c r="AP15" i="2"/>
  <c r="AQ8" i="2"/>
  <c r="AO29" i="2"/>
  <c r="AO17" i="2"/>
  <c r="AO16" i="2" s="1"/>
  <c r="BC23" i="2" l="1"/>
  <c r="BC24" i="2" s="1"/>
  <c r="BB23" i="2"/>
  <c r="BB24" i="2" s="1"/>
  <c r="AQ15" i="2"/>
  <c r="AR8" i="2"/>
  <c r="AP29" i="2"/>
  <c r="AP17" i="2"/>
  <c r="AP16" i="2" s="1"/>
  <c r="AR15" i="2" l="1"/>
  <c r="AS8" i="2"/>
  <c r="AQ29" i="2"/>
  <c r="AQ17" i="2"/>
  <c r="AQ16" i="2" s="1"/>
  <c r="AS15" i="2" l="1"/>
  <c r="AT8" i="2"/>
  <c r="AR29" i="2"/>
  <c r="AR17" i="2"/>
  <c r="AR16" i="2" s="1"/>
  <c r="AU8" i="2" l="1"/>
  <c r="AT15" i="2"/>
  <c r="AS29" i="2"/>
  <c r="AS17" i="2"/>
  <c r="AS16" i="2" s="1"/>
  <c r="AT29" i="2" l="1"/>
  <c r="AT17" i="2"/>
  <c r="AT16" i="2" s="1"/>
  <c r="AV8" i="2"/>
  <c r="AU15" i="2"/>
  <c r="AU29" i="2" l="1"/>
  <c r="AU17" i="2"/>
  <c r="AU16" i="2" s="1"/>
  <c r="AW8" i="2"/>
  <c r="AV15" i="2"/>
  <c r="AV17" i="2" l="1"/>
  <c r="AV16" i="2" s="1"/>
  <c r="AV29" i="2"/>
  <c r="AX8" i="2"/>
  <c r="AW15" i="2"/>
  <c r="AW17" i="2" l="1"/>
  <c r="AW16" i="2" s="1"/>
  <c r="AW29" i="2"/>
  <c r="AY8" i="2"/>
  <c r="AX15" i="2"/>
  <c r="AX17" i="2" l="1"/>
  <c r="AX16" i="2" s="1"/>
  <c r="AX29" i="2"/>
  <c r="AZ8" i="2"/>
  <c r="AY15" i="2"/>
  <c r="AY29" i="2" l="1"/>
  <c r="AY17" i="2"/>
  <c r="AY16" i="2" s="1"/>
  <c r="BA8" i="2"/>
  <c r="AZ15" i="2"/>
  <c r="AZ29" i="2" l="1"/>
  <c r="AZ17" i="2"/>
  <c r="AZ16" i="2"/>
  <c r="BB8" i="2"/>
  <c r="BA15" i="2"/>
  <c r="BA29" i="2" l="1"/>
  <c r="BA17" i="2"/>
  <c r="BA16" i="2"/>
  <c r="BC8" i="2"/>
  <c r="BC15" i="2" s="1"/>
  <c r="BB15" i="2"/>
  <c r="BB29" i="2" l="1"/>
  <c r="BB17" i="2"/>
  <c r="BB16" i="2"/>
  <c r="BC29" i="2"/>
  <c r="BC17" i="2"/>
  <c r="BC16" i="2"/>
</calcChain>
</file>

<file path=xl/sharedStrings.xml><?xml version="1.0" encoding="utf-8"?>
<sst xmlns="http://schemas.openxmlformats.org/spreadsheetml/2006/main" count="506" uniqueCount="354">
  <si>
    <t>Price</t>
  </si>
  <si>
    <t>Shares</t>
  </si>
  <si>
    <t>MC</t>
  </si>
  <si>
    <t>Cash</t>
  </si>
  <si>
    <t>Debt</t>
  </si>
  <si>
    <t>EV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</si>
  <si>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</si>
  <si>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</si>
  <si>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</si>
  <si>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</si>
  <si>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</si>
  <si>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</si>
  <si>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</si>
  <si>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</si>
  <si>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</si>
  <si>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main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</si>
  <si>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</si>
  <si>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</si>
  <si>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</si>
  <si>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</si>
  <si>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</si>
  <si>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</si>
  <si>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</si>
  <si>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</si>
  <si>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</si>
  <si>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f</t>
  </si>
  <si>
    <t>SLS</t>
  </si>
  <si>
    <t>Sellas</t>
  </si>
  <si>
    <t>Brand</t>
  </si>
  <si>
    <t>Indication</t>
  </si>
  <si>
    <t>Phase</t>
  </si>
  <si>
    <t>MoA</t>
  </si>
  <si>
    <t>Type</t>
  </si>
  <si>
    <t>Notes</t>
  </si>
  <si>
    <t>GPS</t>
  </si>
  <si>
    <t>Maintenance in AML CR2/CRp2 (REGAL)</t>
  </si>
  <si>
    <t>III</t>
  </si>
  <si>
    <t xml:space="preserve">II </t>
  </si>
  <si>
    <t>Combo</t>
  </si>
  <si>
    <t>-</t>
  </si>
  <si>
    <t>nivolumab</t>
  </si>
  <si>
    <t>pembrolizumab</t>
  </si>
  <si>
    <t>SLS009</t>
  </si>
  <si>
    <t>2nd/3rd Line Ovarian Cancer</t>
  </si>
  <si>
    <t>MPM</t>
  </si>
  <si>
    <t>First-line AML</t>
  </si>
  <si>
    <t>r/r AML</t>
  </si>
  <si>
    <t>HematologicalMalignancies</t>
  </si>
  <si>
    <t>NIH PIVOT (pediatric tumors)</t>
  </si>
  <si>
    <t>II</t>
  </si>
  <si>
    <t>I</t>
  </si>
  <si>
    <t>preclin</t>
  </si>
  <si>
    <t>venetoclax / azacitidine</t>
  </si>
  <si>
    <t>Generic</t>
  </si>
  <si>
    <t>Galinpepimut-S</t>
  </si>
  <si>
    <t>cancer immunotherapy (vaccine)</t>
  </si>
  <si>
    <t xml:space="preserve">targets WT1 protein </t>
  </si>
  <si>
    <t>WT1 is overexpressed in many tumors</t>
  </si>
  <si>
    <t>licensed from Memorial Sloan Kettering Cancer Center</t>
  </si>
  <si>
    <t>AML (Acute Myeloid Leukemia)</t>
  </si>
  <si>
    <t xml:space="preserve">specifically as a maintenance therapy for patients who achieved </t>
  </si>
  <si>
    <t>complete remission after second-line salvage therapy</t>
  </si>
  <si>
    <t>Trial</t>
  </si>
  <si>
    <t>the trial triggers its final analysis upon reaching 80 survival events (deaths)</t>
  </si>
  <si>
    <t>https://clinicaltrials.gov/study/NCT04229979</t>
  </si>
  <si>
    <t>Phase 3 REGAL NCT04229979 n=127</t>
  </si>
  <si>
    <t>start 2/8/21</t>
  </si>
  <si>
    <t>end est 2026/12</t>
  </si>
  <si>
    <t>highly selective CDK9 inhibitor</t>
  </si>
  <si>
    <t>type</t>
  </si>
  <si>
    <t>small molecule</t>
  </si>
  <si>
    <t>blocks a protein involved in cancer cell survival and promotes</t>
  </si>
  <si>
    <t>cancer cell death</t>
  </si>
  <si>
    <t>tambiciclib</t>
  </si>
  <si>
    <t xml:space="preserve">AML </t>
  </si>
  <si>
    <t>also colorectal cancer ASXL1-mutated)</t>
  </si>
  <si>
    <t>T-cell prolymphocytic leukemia (T-PLL)</t>
  </si>
  <si>
    <t>trials</t>
  </si>
  <si>
    <t>Phase 2 - SELLAS n=80</t>
  </si>
  <si>
    <t>start 3/12/2026</t>
  </si>
  <si>
    <t xml:space="preserve">prior Phase 2 (relapsed/refractory AML) </t>
  </si>
  <si>
    <t>SLS009 plus azacitidine/venetoclax (AZA/VEN)</t>
  </si>
  <si>
    <t>produced a 46% overall response rate in relapsed/refractory AML-MRC patients</t>
  </si>
  <si>
    <t>with 58% ORR in patients with only one prior line of therapy and median overall</t>
  </si>
  <si>
    <t>survival of 8.9 months in the least pre-treated cohort versus a historical benchmark</t>
  </si>
  <si>
    <t>of 2.5-2.6 months</t>
  </si>
  <si>
    <t>topline data in Q426</t>
  </si>
  <si>
    <t>SELLAS will present preclinical SLS009 data at 2026 AACR Conference</t>
  </si>
  <si>
    <t xml:space="preserve">IPO 2024 at 9M MC </t>
  </si>
  <si>
    <t>HQ NYC</t>
  </si>
  <si>
    <t xml:space="preserve"> 7 Times Square, Suite 2503, New York, NY 10036, USA</t>
  </si>
  <si>
    <t>founded 2012</t>
  </si>
  <si>
    <t>roots in Zug, Switzerland</t>
  </si>
  <si>
    <t xml:space="preserve">CEO &amp; founded Angelos M. Stergiou MD </t>
  </si>
  <si>
    <t>cps</t>
  </si>
  <si>
    <t>randomized, open-label</t>
  </si>
  <si>
    <t>keywords</t>
  </si>
  <si>
    <t>CR2 Complete remission</t>
  </si>
  <si>
    <t>oncology Phase 3 success rate is historicalyl 40%-60%</t>
  </si>
  <si>
    <t>Phase 2-to-3 transition is 20-30%</t>
  </si>
  <si>
    <t>IR</t>
  </si>
  <si>
    <t>DAVID A SCHEINBERG</t>
  </si>
  <si>
    <t>Q326</t>
  </si>
  <si>
    <t>Q426</t>
  </si>
  <si>
    <t>APIC</t>
  </si>
  <si>
    <t>AD</t>
  </si>
  <si>
    <t>WT1</t>
  </si>
  <si>
    <t>OCV-501</t>
  </si>
  <si>
    <t>by Otsuka</t>
  </si>
  <si>
    <t>Examined parallel immunotherapies targeting WT1 for leukemia outcomes</t>
  </si>
  <si>
    <t xml:space="preserve">OCV-501 is a WT1-targeting peptide vaccine developed by Otsuka </t>
  </si>
  <si>
    <t xml:space="preserve">Pharmaceutical for acute myeloid leukemia (AML). It's a helper peptide </t>
  </si>
  <si>
    <t xml:space="preserve">derived from the WT1 protein that induces WT1-specific Th1 immune </t>
  </si>
  <si>
    <t>responses and enhances WT1-specific cytotoxic T lymphocytes.</t>
  </si>
  <si>
    <t xml:space="preserve">SELLAS' drug (galinpepimut-S/GPS) also targets WT1, so both are essentially </t>
  </si>
  <si>
    <t xml:space="preserve">the same mechanistic class — peptide-based cancer vaccines aiming to train the </t>
  </si>
  <si>
    <t>immune system against WT1-overexpressing leukemia cells.</t>
  </si>
  <si>
    <t xml:space="preserve">Patient population: the OCV-501 trial (NCT01961882) enrolled AML patients in first </t>
  </si>
  <si>
    <t xml:space="preserve">complete remission (CR1), whereas SELLAS' Phase 3 trial enrolls patients in second </t>
  </si>
  <si>
    <t xml:space="preserve">complete remission (CR2/CRp2) — a harder-to-treat, later-stage population since </t>
  </si>
  <si>
    <t>leukemia tends to worsen with subsequent relapses.</t>
  </si>
  <si>
    <t xml:space="preserve">Trial design: OCV-501's Phase 2 (NCT01961882) was a randomized, double-blind, </t>
  </si>
  <si>
    <t xml:space="preserve">placebo-controlled trial comparing OCV-501 monotherapy to placebo, with a planned </t>
  </si>
  <si>
    <t xml:space="preserve">enrollment of 120 patients (60 per arm). SELLAS' Phase 3 compares GPS to </t>
  </si>
  <si>
    <t>investigator's choice of best available therapy (not placebo), with lower enrollment (~128).</t>
  </si>
  <si>
    <t xml:space="preserve">Outcome: the OCV-501 study reached its primary endpoint, with 3-year overall survival </t>
  </si>
  <si>
    <t xml:space="preserve">at 47% versus a pre-specified threshold of 34%, though no p-value was reported, </t>
  </si>
  <si>
    <t>making it hard to judge statistical significance</t>
  </si>
  <si>
    <t>Phase 2 NCT01961882 n=120</t>
  </si>
  <si>
    <t>Phase 1 NCT01440920</t>
  </si>
  <si>
    <t>favorable safety profile</t>
  </si>
  <si>
    <t xml:space="preserve">proper, randomized, double-blind </t>
  </si>
  <si>
    <t xml:space="preserve">47% drug vs 34% threshold </t>
  </si>
  <si>
    <t>but no p value reported!</t>
  </si>
  <si>
    <t xml:space="preserve">a genuinely statistically significant, clinically meaningful Phase 2 result in a well-designed </t>
  </si>
  <si>
    <t xml:space="preserve">placebo-controlled trial would normally justify moving into Phase 3 — especially for a </t>
  </si>
  <si>
    <t xml:space="preserve">company like Otsuka with resources to do so. The fact that it seems to have quietly </t>
  </si>
  <si>
    <t xml:space="preserve">stopped after Phase 2, with no clear positive readout ever prominently published or a </t>
  </si>
  <si>
    <t xml:space="preserve">p-value disclosed, is a meaningful signal. It suggests the trial likely missed its endpoint, </t>
  </si>
  <si>
    <t xml:space="preserve">or hit it too narrowly/ambiguously to justify further investment — not that it was a clear </t>
  </si>
  <si>
    <t xml:space="preserve">win left dormant for no reason. Companies don't typically abandon genuinely stat-sig </t>
  </si>
  <si>
    <t>Phase 2 wins in a mechanism-validated space like WT1/AML.</t>
  </si>
  <si>
    <t>Phase 2 in CR1 (NCT01266083) n=22</t>
  </si>
  <si>
    <t>the original GPS AML trial in CR1 patients</t>
  </si>
  <si>
    <t>CR1 patients</t>
  </si>
  <si>
    <t xml:space="preserve">tough it was a single-arm study (no randomized control) which makes </t>
  </si>
  <si>
    <t>cross-comparison to historical benchmarks less rigorous</t>
  </si>
  <si>
    <t>CEO</t>
  </si>
  <si>
    <t>Angelos Stergiou, MD, Scd hc - founder, President &amp; CEO</t>
  </si>
  <si>
    <t>founded Sellas in 2012 and led it for 13.5 years</t>
  </si>
  <si>
    <t>2009-2011 co founded and served as president/COO of Genesis Life Sciences</t>
  </si>
  <si>
    <t xml:space="preserve">a health economics &amp; pricing/reimbursement consultancy </t>
  </si>
  <si>
    <t>2002-2009 he held increasingly senior roles across several pharma/biotech</t>
  </si>
  <si>
    <t>companies - PAION AG, Accentia Biopharma., BioVest international</t>
  </si>
  <si>
    <r>
      <t xml:space="preserve">Analytica International &amp; </t>
    </r>
    <r>
      <rPr>
        <b/>
        <sz val="10"/>
        <color theme="1"/>
        <rFont val="Arial"/>
        <family val="2"/>
        <charset val="238"/>
      </rPr>
      <t>Anavex Life Sciences</t>
    </r>
  </si>
  <si>
    <t>spanning clinical research, product development, CMO, COO</t>
  </si>
  <si>
    <t>total comp $1.88M pa</t>
  </si>
  <si>
    <t>owns about 0.17% direct stake worth about $4M</t>
  </si>
  <si>
    <t>John Burns</t>
  </si>
  <si>
    <t>SVP CFO</t>
  </si>
  <si>
    <t>VP, Reg Affairs, CMC, Quality</t>
  </si>
  <si>
    <t>Andrew Elnatan</t>
  </si>
  <si>
    <t>NeuWax</t>
  </si>
  <si>
    <t>nelipepimut-S</t>
  </si>
  <si>
    <t>HER-2 targeted breast cancer</t>
  </si>
  <si>
    <t>vaccine</t>
  </si>
  <si>
    <t>failures</t>
  </si>
  <si>
    <t xml:space="preserve">HER2-targeted breast cancer </t>
  </si>
  <si>
    <t>randomized, double-blind, placebo-controlled</t>
  </si>
  <si>
    <t>stopped early for futility after an intermin analysis</t>
  </si>
  <si>
    <t>the independent mnitoring committee looked at the data partway through</t>
  </si>
  <si>
    <t>and determined it had no realistic chance of showing benefit at completion</t>
  </si>
  <si>
    <t>notes</t>
  </si>
  <si>
    <t xml:space="preserve">originated at Galena Biopharma, sellas acquired it, but Stergiou (CEO) </t>
  </si>
  <si>
    <t>continued developing it afterward, including further studies</t>
  </si>
  <si>
    <t>peptide-immunotherapy vaccine</t>
  </si>
  <si>
    <t>targeting HER2 (human epidermal growth factor receptor 2)</t>
  </si>
  <si>
    <t>a protein overexpressed on the surface of many breat cancer cells</t>
  </si>
  <si>
    <t>mechanistically it works the same way as WT1 vaccines: its a short peptide</t>
  </si>
  <si>
    <t>fragment (E75) derived from the HER2 protein, combined with GM-CSF</t>
  </si>
  <si>
    <t>as an adjuvant to boost immune activation. The idea is to crain CD8+</t>
  </si>
  <si>
    <t>cytoxic T cells to recognize and kill any remaining HER2 expressing cancer</t>
  </si>
  <si>
    <t xml:space="preserve">cells after a patient has completed standard treatment  </t>
  </si>
  <si>
    <t xml:space="preserve">NeuVax was designed for a specific niche: patients with low-to-intermediate </t>
  </si>
  <si>
    <t>HER2 expression (HER21+ or 2+) - i.e. patients wdo don-t qualify for HER2</t>
  </si>
  <si>
    <t>targeted antibody drugs like Herceptin/trastuzumab</t>
  </si>
  <si>
    <t>Phase 3 PRESENT trial n=758 NCT01479244</t>
  </si>
  <si>
    <t xml:space="preserve">Multicenter, international, randomized, double-blind, placebo-controlled </t>
  </si>
  <si>
    <t xml:space="preserve">758 women with early-stage, node-positive breast cancer, HER2 1+/2+ </t>
  </si>
  <si>
    <t>(low-to-intermediate expression).</t>
  </si>
  <si>
    <t xml:space="preserve">Randomized 1:1 to nelipepimut-S + GM-CSF vs. GM-CSF + placebo, </t>
  </si>
  <si>
    <t xml:space="preserve">for 6 months of induction followed by booster shots every 6 months </t>
  </si>
  <si>
    <t>out to 36 months.</t>
  </si>
  <si>
    <t xml:space="preserve">Primary endpoint: disease-free survival, with a planned interim futility </t>
  </si>
  <si>
    <t>analysis at 70 DFS events.</t>
  </si>
  <si>
    <t>patients</t>
  </si>
  <si>
    <t>20k new AML cases diagnosed pa in US, about 10k deaths pa</t>
  </si>
  <si>
    <t>of those 50-75% achieve a CR1 after induction chemo</t>
  </si>
  <si>
    <t>call it 12k people / year reach CR1</t>
  </si>
  <si>
    <t xml:space="preserve">majority of CR1 patients relapse, common citer risk ranges from 35% </t>
  </si>
  <si>
    <t>(younger, favorable risk) up to 60-85% (older or unfavorable risk)</t>
  </si>
  <si>
    <t>say 60% relapse 7k pa</t>
  </si>
  <si>
    <t xml:space="preserve">of relapsed patients who get salvage therapy CR2 rates are meaningfully </t>
  </si>
  <si>
    <t xml:space="preserve">lower than CR1 rates - one dataset showed only 36% of relapsed patients </t>
  </si>
  <si>
    <t>achieved CR2</t>
  </si>
  <si>
    <t>say 2.5k CR2 in the US PA</t>
  </si>
  <si>
    <t>substract transplant-eligible patients</t>
  </si>
  <si>
    <t>GPS/REGAL specifically targets patients in CR2 who are no eligible for</t>
  </si>
  <si>
    <t>allogeneic stem cell transplant (since transplant is preferred curative option</t>
  </si>
  <si>
    <t>when available)</t>
  </si>
  <si>
    <t xml:space="preserve">a large chunk of CW2 patients, especially older ones wont quality </t>
  </si>
  <si>
    <t>if about 40-50% are transplant ineligible, thats 1k-1.3k new US patients pa</t>
  </si>
  <si>
    <t xml:space="preserve">since patients would stay on GPS as maintenance therapy for a while </t>
  </si>
  <si>
    <t>(REGALs own data showed median OS around 13.5-21 months in the GPS</t>
  </si>
  <si>
    <t xml:space="preserve">arm) the number of patients on drug at any given time is higher than the </t>
  </si>
  <si>
    <t xml:space="preserve">annual incidence alone - rougly 1.3-1.8x annual incidence at steady state. </t>
  </si>
  <si>
    <t>Say 1.5k-2k patients on drug at all times in the US</t>
  </si>
  <si>
    <t>add EU5+ other eveloped market (roughly comparable or somewhat larger</t>
  </si>
  <si>
    <t>than US in aggregate AML incidence, tough GPS commercial rights</t>
  </si>
  <si>
    <t>outside Greater China) a reasonable global ex-china steaty-state</t>
  </si>
  <si>
    <t>population may be 3k-4.5k patients</t>
  </si>
  <si>
    <t>cost pp</t>
  </si>
  <si>
    <t>no official price exists yet (pre-approval), but useful comps in AML:</t>
  </si>
  <si>
    <t xml:space="preserve">Venetoclax (venclexta) </t>
  </si>
  <si>
    <t>$150k/year</t>
  </si>
  <si>
    <t>Gilteritinib (xospata)</t>
  </si>
  <si>
    <t>$220k/year</t>
  </si>
  <si>
    <t>other targeted AML orphan drugs</t>
  </si>
  <si>
    <t>$100-$250k / year</t>
  </si>
  <si>
    <t>TAM</t>
  </si>
  <si>
    <t>from $450M to $900M</t>
  </si>
  <si>
    <t>Musd</t>
  </si>
  <si>
    <t>patients at any time</t>
  </si>
  <si>
    <t>revenue</t>
  </si>
  <si>
    <t>COGS</t>
  </si>
  <si>
    <t>Gross profit</t>
  </si>
  <si>
    <t>tax</t>
  </si>
  <si>
    <t>gm</t>
  </si>
  <si>
    <t>om</t>
  </si>
  <si>
    <t>pm</t>
  </si>
  <si>
    <t>penetration</t>
  </si>
  <si>
    <t>R&amp;D</t>
  </si>
  <si>
    <t>SG&amp;A</t>
  </si>
  <si>
    <t>operating profit</t>
  </si>
  <si>
    <t>other</t>
  </si>
  <si>
    <t>EBIT</t>
  </si>
  <si>
    <t>NI</t>
  </si>
  <si>
    <t>eps</t>
  </si>
  <si>
    <t>s/o</t>
  </si>
  <si>
    <t>terminal</t>
  </si>
  <si>
    <t>discount</t>
  </si>
  <si>
    <t>NPV</t>
  </si>
  <si>
    <t>PS</t>
  </si>
  <si>
    <r>
      <rPr>
        <b/>
        <sz val="10"/>
        <color theme="1"/>
        <rFont val="Arial"/>
        <family val="2"/>
        <charset val="238"/>
      </rPr>
      <t>Rindopepimut</t>
    </r>
    <r>
      <rPr>
        <sz val="10"/>
        <color theme="1"/>
        <rFont val="Arial"/>
        <family val="2"/>
        <charset val="238"/>
      </rPr>
      <t xml:space="preserve"> (ACT IV trial, glioblastoma) — this is the closest structural analog to GPS you could ask for: three separate Phase 2 trials all showed improved PFS and OS, </t>
    </r>
  </si>
  <si>
    <t xml:space="preserve">generated a strong immune response, and it received FDA breakthrough designation. The Phase 3 (randomized, placebo-controlled, international) was then stopped early for futility </t>
  </si>
  <si>
    <t>— no OS or PFS benefit despite the vaccine successfully generating a strong humoral immune response. That's the textbook version of exactly the failure mode you'd want to stress-test G</t>
  </si>
  <si>
    <t>PS against: immune response ? survival benefit, and it happened even with breakthrough status and multiple positive Phase 2s behind it.</t>
  </si>
  <si>
    <t xml:space="preserve">Tecemotide (START trial, NSCLC) — MUC1-targeting peptide vaccine, missed its primary endpoint despite an entire development program built on encouraging earlier data; </t>
  </si>
  <si>
    <t>the whole monotherapy program was later discontinued across multiple Phase 3 trials (START2, INSPIRE).</t>
  </si>
  <si>
    <t xml:space="preserve">The general research literature draws the conclusion plainly: TAA-targeting peptide vaccines are well tolerated and generate measurable immune responses, </t>
  </si>
  <si>
    <t>but repeatedly show limited therapeutic effect as standalone interventions in late-stage trials.</t>
  </si>
  <si>
    <t xml:space="preserve">The entire mechanistic class (peptide + adjuvant cancer vaccines, monotherapy, in late-stage trials) has a strikingly poor Phase 3 track record industry-wide, across completely unrelated </t>
  </si>
  <si>
    <t>companies, indications, and targets. That's a base-rate argument, not just company-specific pattern matching.</t>
  </si>
  <si>
    <t xml:space="preserve">One direct source states it plainly: not a single synthetic peptide vaccine has successfully passed Phase III clinical trials to be approved and marketed in humans </t>
  </si>
  <si>
    <t>— out of more than a thousand synthetic peptides examined as candidates, with 125 progressing to Phase I and 30 to Phase II, the failure rate through Phase III has been total.</t>
  </si>
  <si>
    <t xml:space="preserve">There's some confusion in the literature because Sipuleucel-T (Provenge), the one FDA-approved "cancer vaccine" people often point to, gets loosely called peptide-based in some review </t>
  </si>
  <si>
    <t xml:space="preserve">papers — but it's actually a cell-based therapy: it uses the patient's own dendritic cells, extracted via leukapheresis and pulsed ex vivo with a PAP-GM-CSF fusion protein, not a standalone </t>
  </si>
  <si>
    <t>injectable peptide + adjuvant like GPS or OCV-501. Mechanistically it's a different drug class entirely, even though both fall under the "cancer immunotherapy vaccine" umbrella.</t>
  </si>
  <si>
    <t xml:space="preserve">The more rigorous, mechanism-precise sources are consistent: no standalone TAA-targeting peptide vaccine has ever reached FDA approval. One paper frames this explicitly as a </t>
  </si>
  <si>
    <t xml:space="preserve">research question — cataloguing three core failure mechanisms (immunosuppressive tumor microenvironment, immune evasion, tumor heterogeneity) as the reason there have been no </t>
  </si>
  <si>
    <t>FDA-approved peptide cancer vaccines, not as an exception to an otherwise successful category.</t>
  </si>
  <si>
    <t xml:space="preserve">Efficacy data across the class backs this up: even where peptide vaccines show measurable activity, the overall clinical benefit rate is only around 20% — modest at best, and that's </t>
  </si>
  <si>
    <t>response rate data, not necessarily survival benefit.</t>
  </si>
  <si>
    <t>https://synapse.patsnap.com/article/how-many-fda-approved-synthetic-peptide-vaccine-are-there</t>
  </si>
  <si>
    <t>Angelos Steriou ownership</t>
  </si>
  <si>
    <t>SLS009 (tambiciclib)</t>
  </si>
  <si>
    <t>GPS (Galinpepimut-S)</t>
  </si>
  <si>
    <t>| Feature                  | GPS (galinpepimut-S)                     | OCV-501                            |</t>
  </si>
  <si>
    <t>| Antigen                  | WT1                                      | WT1                                |</t>
  </si>
  <si>
    <t>| Vaccine type             | Multivalent peptide vaccine              | Single helper peptide              |</t>
  </si>
  <si>
    <t>| Peptides                 | 4 WT1-derived peptides                   | 1 WT1 peptide                      |</t>
  </si>
  <si>
    <t>| Main target              | CD8 **and** CD4 T cells                  | Mainly CD4 helper T cells          |</t>
  </si>
  <si>
    <t>| HLA restriction          | Broad (multiple HLA types)               | Primarily HLA class II restricted  |</t>
  </si>
  <si>
    <t>| Intended immune response | Direct cytotoxic killing + immune memory | Helper response that supports CTLs |</t>
  </si>
  <si>
    <t>| Clinical status          | Phase III (REGAL)                        | Failed Phase II                    |</t>
  </si>
  <si>
    <t>https://pmc.ncbi.nlm.nih.gov/articles/PMC503773/</t>
  </si>
  <si>
    <t>Poor immunogenicity of a self/tumor antigen derives from peptide–MHC-I instability and is independent of tolerance</t>
  </si>
  <si>
    <t>title</t>
  </si>
  <si>
    <t>link</t>
  </si>
  <si>
    <t>https://www.frontiersin.org/journals/immunology/articles/10.3389/fimmu.2023.1210044/full</t>
  </si>
  <si>
    <t>Peptide-based vaccine for cancer therapies</t>
  </si>
  <si>
    <t>authors</t>
  </si>
  <si>
    <t>Luigi Buonaguro, Maria Tagliamonte</t>
  </si>
  <si>
    <t>How many FDA approved Synthetic peptide vaccine are there?</t>
  </si>
  <si>
    <t>https://pubs.acs.org/doi/10.1021/acs.biochem.5c00720</t>
  </si>
  <si>
    <t>From Neoantigens to Nanocarriers: Modern Methods and Modalities in Using Peptides for Cancer Vaccination</t>
  </si>
  <si>
    <t>Aleah Harris Treiterer, Blaise Robinson, Sean Huggins, Blaise R. Kimmel</t>
  </si>
  <si>
    <t>https://pmc.ncbi.nlm.nih.gov/articles/PMC4316779/</t>
  </si>
  <si>
    <t>Review of the Results of WT1 Peptide Vaccination Strategies for Myelodysplastic Syndromes and Acute Myeloid Leukemia from Nine Different Studies</t>
  </si>
  <si>
    <t xml:space="preserve">Antonio Di Stasi, Antonio M Jimenez, Kentaro Minagawa, Mustafa Al-Obaidi, Katayoun Rezvani </t>
  </si>
  <si>
    <t>Zhiya Yu, Marc R Theoret, Christopher E Touloukian, Deborah R Surman, Scott C Garman, Lionel Feigenbaum, Tiffany K Baxter, Brian M Baker, Nicholas P Restifo</t>
  </si>
  <si>
    <t>https://pubmed.ncbi.nlm.nih.gov/33271388/</t>
  </si>
  <si>
    <t>Saeid Taghiloo, Hossein Asgarian-Omran</t>
  </si>
  <si>
    <t>Immune evasion mechanisms in acute myeloid leukemia: A focus on immune checkpoint pathways</t>
  </si>
  <si>
    <t>https://pmc.ncbi.nlm.nih.gov/articles/PMC11359700/</t>
  </si>
  <si>
    <t>Advancements and Challenges in Peptide-Based Cancer Vaccination: A Multidisciplinary Perspective</t>
  </si>
  <si>
    <t xml:space="preserve">Dequan Liu, Lei Liu, Xinghan Li, Shijin Wang, Guangzhen Wu, Xiangyu Che </t>
  </si>
  <si>
    <t>median disease-free survival was 16.9 months</t>
  </si>
  <si>
    <t>later lts follow up showed a median OS of 67.6 months in GPS trated</t>
  </si>
  <si>
    <t>Venetoclax - possible BAT</t>
  </si>
  <si>
    <t>https://pmc.ncbi.nlm.nih.gov/articles/PMC3575753/</t>
  </si>
  <si>
    <t>The myth of the second remission of acute leukemia in the adult</t>
  </si>
  <si>
    <t xml:space="preserve">Stephen J Forman, Jacob M Rowe </t>
  </si>
  <si>
    <t>60 events for interim analysis, 80 for final</t>
  </si>
  <si>
    <t>enrollment complete as of March 26 2024 - 1/8/2020 enrollment began</t>
  </si>
  <si>
    <t>PE: OS</t>
  </si>
  <si>
    <t>March 1 2024: 66 patients dead, 123 enrolled</t>
  </si>
  <si>
    <t>Interim Analysis of Phase 3 REGAL Study of Galinpepimut-S in Patients with Acute Myeloid Leukemia Expected in First Quarter 2024</t>
  </si>
  <si>
    <t xml:space="preserve"> Our independent data monitoring committee will meet again in Q3, and we currently expect the interim analysis for our Phase 3 REGAL study by the end of this year or early 2024.</t>
  </si>
  <si>
    <t>Approximately 125 -140 patients will enroll, in a 1:1 ratio, to provide at least 90% power under an assumed hazard ratio of 0.636, based on median OS of 8.0 m (BAT) and 12.6m (GPS)</t>
  </si>
  <si>
    <t xml:space="preserve">Background:
Patients with relapse/refractory (r/r) AML have poor outcomes. Allogeneic stem cell transplantation (allo-SCT) can potentially cure some patients with r/r AML </t>
  </si>
  <si>
    <t>Methods:</t>
  </si>
  <si>
    <t xml:space="preserve">who achieve second CR (CR2). However, barriers to transplantation such as advanced age, poor functional status/comorbidities or lack of donor exist and not all patients are </t>
  </si>
  <si>
    <t xml:space="preserve">able to proceed to allo-SCT. Therefore, novel strategies to decrease relapse risk in these patients are urgently needed. A National Cancer Institute consensus study on prioritization </t>
  </si>
  <si>
    <t xml:space="preserve">of cancer antigens ranked the Wilms tumor 1 (WT1) protein as the top immunotherapy target in cancer. WT1 has emerged as an encouraging vaccine target in AML due to its </t>
  </si>
  <si>
    <t xml:space="preserve">overexpression in leukemic blasts. Maintenance therapy with Galinpepimut-S (GPS), a multivalent heteroclitic WT1 peptide vaccine, has shown promising activity in patients with </t>
  </si>
  <si>
    <t>AML by inducing a strong innate immune response (CD4+/CD8+) against the WT1 antigen and across a broad range of HLA types.</t>
  </si>
  <si>
    <t xml:space="preserve">This is an open-label, multicenter, randomized, phase III study of GPS vs. BAT in patients with AML in CR2/CRp2 (CR2 with incomplete platelet recovery). BAT may include </t>
  </si>
  <si>
    <t xml:space="preserve">observation, low dose cytarabine and hypomethylating agents +/- venetoclax. The primary endpoint of the study is overall survival (OS). Secondary endpoints include safety </t>
  </si>
  <si>
    <t xml:space="preserve">and tolerability of GPS and leukemia-free survival. Exploratory endpoints include WT1-specific immune response dynamics in blood and bone marrow. </t>
  </si>
  <si>
    <t xml:space="preserve">Approximately 125 - 140 patients will enroll, in a 1:1 ratio, to provide at least 90% power under an assumed hazard ratio of 0.52, based on median OS of 8.0 m (BAT) and </t>
  </si>
  <si>
    <t xml:space="preserve">15.4m (GPS). Randomization will be stratified by duration of CR1 ( &lt; 12m vs. ≥12m), Cytogenetics (poor-risk vs. all other), CR2 vs. CRp2 and measurable residual disease </t>
  </si>
  <si>
    <t xml:space="preserve">(MRD) after CR2 (MRD- vs. MRD+). Inclusion criteria consists of willing subjects ≥18y with AML within 6m of achieving CR2/CRp2, ineligible for allo-SCT due to any reason, </t>
  </si>
  <si>
    <t>with ≥300 lymphocytes/ul and with adequate renal and hepatic function. Subjects with central nervous involvement, having received a live vaccine 30d prior to first dose of study</t>
  </si>
  <si>
    <t xml:space="preserve">drug, having a diagnosis of immunodeficiency, receiving ≥10mg daily of prednisone equivalent (or any other systemic immunosuppressant) for any indication 7d prior to first </t>
  </si>
  <si>
    <t xml:space="preserve">dose of study drug, hypersensitivity to study agent and with a history of solid organ transplant would be excluded. The clinical trial is actively enrolling, </t>
  </si>
  <si>
    <t>and the registry number is NCT04229979. Clinical trial information: NCT04229979.</t>
  </si>
  <si>
    <t>https://onlinelibrary.wiley.com/doi/full/10.1111/bjh.14768?sid=nlm%3Apubmed</t>
  </si>
  <si>
    <t>Wilms tumour 1 peptide vaccine as a cure-oriented post-chemotherapy strategy for patients with acute myeloid leukaemia at high risk of relapse</t>
  </si>
  <si>
    <t xml:space="preserve">Jun Nakata, Yoshiki Nakae, Manabu Kawakami, Soyoko Morimoto, Daisuke Motooka, Naoki Hosen, Fumihiro Fujiki, Hiroko Nakajima, Kana Hasegawa, Sumiyuki Nishida, Akihiro Tsuboi, Yusuke Oji, Yoshihiro Oka, Atsushi Kumanogoh, Haruo Sugiyama </t>
  </si>
  <si>
    <t>https://pmc.ncbi.nlm.nih.gov/articles/PMC5812332/</t>
  </si>
  <si>
    <t>https://pmc.ncbi.nlm.nih.gov/articles/PMC8420904/</t>
  </si>
  <si>
    <t>https://pubmed.ncbi.nlm.nih.gov/20631300/</t>
  </si>
  <si>
    <t>Induction of complete and molecular remissions in acute myeloid leukemia by Wilms' tumor 1 antigen-targeted dendritic cell vaccination</t>
  </si>
  <si>
    <t>Viggo F Van Tendeloo, Ann Van de Velde, Ann Van Driessche, Nathalie Cools, Sébastien Anguille, Kristin Ladell, Emma Gostick, Katrien Vermeulen, Katrien Pieters, Griet Nijs, Barbara Stein, Evelien L Smits, Wilfried A Schroyens, Alain P Gadisseur, Inge Vrelust, Philippe G Jorens, Herman Goossens, I Jolanda de Vries, David A Price, Yusuke Oji, Yoshihiro Oka, Haruo Sugiyama, Zwi N Berneman</t>
  </si>
  <si>
    <t>Outcomes of Patients With Acute Myeloid Leukemia Who Relapse After 5 Years of Complete Remission</t>
  </si>
  <si>
    <t>Arisha Patel, Mounzer Agha, Anastasios Raptis, Jing-Zhou Hou, Rafic Farah, RobertLRedner, AnnieIm, Kathleen A Dorritie, Alison Sehgal, James Rossetti, Melissa Saul, Daniel Normolle, Konstantinos Lontos, MichaelBoyiadzis</t>
  </si>
  <si>
    <t>WT1 gene: a potential therapeutic target for multiple cancer treatment strategies</t>
  </si>
  <si>
    <t>https://pmc.ncbi.nlm.nih.gov/articles/PMC12578765/</t>
  </si>
  <si>
    <t>Tetsuyuki Hirahata, Reeshan Ul Quraish, Afraz Ul Quraish, Shahan Ul Quraish, Reezan Ul Quraish</t>
  </si>
  <si>
    <t xml:space="preserve">patients "have completed induction therapy, achieved 1st CR and will have completed any planned postremission therapy," and critically, </t>
  </si>
  <si>
    <t>Patients are not candidates for allogeneic stem cell transplantation.</t>
  </si>
  <si>
    <t>Phase 2 trial of a multivalent WT1 peptide vaccine (galinpepimut-S) in acute myeloid leukemia</t>
  </si>
  <si>
    <t>Peter G Maslak, Tao Dao, Yvette Bernal, Suzanne M Chanel, Rong Zhang, Mark Frattini, Todd Rosenblat, Joseph G Jurcic, Renier J Brentjens, Maria E Arcila, Raajit Rampal, Jae H Park, Dan Douer, Laura Katz, Nicholas Sarlis, Martin S Tallman, David A Scheinberg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</si>
</sst>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8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b/>
      <u/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4" fillId="0" borderId="0" xfId="1" applyFont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0" xfId="0" applyFont="1"/>
    <xf numFmtId="0" fontId="4" fillId="0" borderId="4" xfId="1" applyFont="1" applyBorder="1"/>
    <xf numFmtId="0" fontId="4" fillId="0" borderId="7" xfId="1" applyFont="1" applyBorder="1"/>
    <xf numFmtId="17" fontId="1" fillId="0" borderId="0" xfId="0" applyNumberFormat="1" applyFont="1"/>
    <xf numFmtId="2" fontId="1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3" fontId="6" fillId="0" borderId="0" xfId="0" applyNumberFormat="1" applyFont="1"/>
    <xf numFmtId="9" fontId="1" fillId="0" borderId="0" xfId="0" applyNumberFormat="1" applyFont="1"/>
    <xf numFmtId="4" fontId="1" fillId="0" borderId="0" xfId="0" applyNumberFormat="1" applyFont="1"/>
    <xf numFmtId="1" fontId="1" fillId="0" borderId="0" xfId="0" applyNumberFormat="1" applyFont="1"/>
    <xf numFmtId="10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564875</xdr:colOff>
      <xdr:row>1</xdr:row>
      <xdr:rowOff>57316</xdr:rowOff>
    </xdr:from>
    <xdr:to>
      <xdr:col>18</xdr:col>
      <xdr:colOff>564875</xdr:colOff>
      <xdr:row>131</xdr:row>
      <xdr:rowOff>66206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B974397-2621-224F-51AE-B64322E22395}"/>
            </a:ext>
          </a:extLst>
        </xdr:cNvPr>
        <xdr:cNvCxnSpPr/>
      </xdr:nvCxnSpPr>
      <xdr:spPr>
        <a:xfrm>
          <a:off x="12074388" y="222968"/>
          <a:ext cx="0" cy="217093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586290</xdr:colOff>
      <xdr:row>1</xdr:row>
      <xdr:rowOff>33642</xdr:rowOff>
    </xdr:from>
    <xdr:to>
      <xdr:col>32</xdr:col>
      <xdr:colOff>586290</xdr:colOff>
      <xdr:row>131</xdr:row>
      <xdr:rowOff>42532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0EE9528-761F-4EF3-BEE3-E462C1297277}"/>
            </a:ext>
          </a:extLst>
        </xdr:cNvPr>
        <xdr:cNvCxnSpPr/>
      </xdr:nvCxnSpPr>
      <xdr:spPr>
        <a:xfrm>
          <a:off x="17375138" y="199294"/>
          <a:ext cx="0" cy="217093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71</xdr:row>
      <xdr:rowOff>0</xdr:rowOff>
    </xdr:from>
    <xdr:to>
      <xdr:col>20</xdr:col>
      <xdr:colOff>501373</xdr:colOff>
      <xdr:row>110</xdr:row>
      <xdr:rowOff>40617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7E97FD-84E8-4B07-B89F-42E2D455B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7046" y="12068908"/>
          <a:ext cx="10254973" cy="667001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71</xdr:row>
      <xdr:rowOff>0</xdr:rowOff>
    </xdr:from>
    <xdr:to>
      <xdr:col>43</xdr:col>
      <xdr:colOff>175543</xdr:colOff>
      <xdr:row>112</xdr:row>
      <xdr:rowOff>16595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E2658A-02D3-4571-A247-2945D45E8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29846" y="12068908"/>
          <a:ext cx="12977143" cy="69859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398477</xdr:colOff>
      <xdr:row>0</xdr:row>
      <xdr:rowOff>104862</xdr:rowOff>
    </xdr:from>
    <xdr:to>
      <xdr:col>11</xdr:col>
      <xdr:colOff>396573</xdr:colOff>
      <xdr:row>11</xdr:row>
      <xdr:rowOff>129105</xdr:rowOff>
    </xdr:to>
    <xdr:pic>
      <xdr:nvPicPr>
        <xdr:cNvPr id="2" name="Picture 1" descr="Dr Angelos Stergiou of SELLAS Life Sciences Group: 5 Things We Must Do To  Improve the US Healthcare System | by Luke Kervin, Co-Founder of Tebra |  Authority Magazine | Medium">
          <a:extLst>
            <a:ext uri="{FF2B5EF4-FFF2-40B4-BE49-F238E27FC236}">
              <a16:creationId xmlns:a16="http://schemas.microsoft.com/office/drawing/2014/main" id="{9E45582E-80E7-4EEF-715C-1EE54397E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2660" y="104862"/>
          <a:ext cx="1214500" cy="1883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r.sellaslifesciences.com/news/default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pmc.ncbi.nlm.nih.gov/articles/PMC842090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F600-D258-4A06-817C-411221231C5A}">
  <dimension ref="B2:Q19"/>
  <sheetViews>
    <sheetView showGridLines="0" tabSelected="1" topLeftCell="H1" zoomScale="130" zoomScaleNormal="130" workbookViewId="0">
      <selection activeCell="M8" sqref="M8"/>
    </sheetView>
  </sheetViews>
  <sheetFormatPr defaultColWidth="8.88671875" defaultRowHeight="13.2" x14ac:dyDescent="0.25"/>
  <cols>
    <col min="1" max="1" width="4.6640625" style="1" customWidth="1"/>
    <col min="2" max="2" width="19.21875" style="1" bestFit="1" customWidth="1"/>
    <col min="3" max="3" width="35.33203125" style="7" bestFit="1" customWidth="1"/>
    <col min="4" max="5" width="8.88671875" style="7"/>
    <col min="6" max="6" width="12.88671875" style="7" bestFit="1" customWidth="1"/>
    <col min="7" max="8" width="8.88671875" style="7"/>
    <col min="9" max="16384" width="8.88671875" style="1"/>
  </cols>
  <sheetData>
    <row r="2" spans="2:17" x14ac:dyDescent="0.25">
      <c r="B2" s="4" t="s">
        <v>28</v>
      </c>
      <c r="C2" s="5" t="s">
        <v>29</v>
      </c>
      <c r="D2" s="5" t="s">
        <v>30</v>
      </c>
      <c r="E2" s="5" t="s">
        <v>31</v>
      </c>
      <c r="F2" s="5" t="s">
        <v>38</v>
      </c>
      <c r="G2" s="5" t="s">
        <v>32</v>
      </c>
      <c r="H2" s="6" t="s">
        <v>33</v>
      </c>
      <c r="L2" s="1" t="s">
        <v>26</v>
      </c>
      <c r="M2" s="3" t="s">
        <v>100</v>
      </c>
    </row>
    <row r="3" spans="2:17" x14ac:dyDescent="0.25">
      <c r="B3" s="16" t="s">
        <v>276</v>
      </c>
      <c r="C3" s="8" t="s">
        <v>35</v>
      </c>
      <c r="D3" s="8" t="s">
        <v>36</v>
      </c>
      <c r="E3" s="8" t="s">
        <v>106</v>
      </c>
      <c r="F3" s="8" t="s">
        <v>39</v>
      </c>
      <c r="G3" s="8"/>
      <c r="H3" s="9" t="s">
        <v>165</v>
      </c>
      <c r="L3" s="1" t="s">
        <v>27</v>
      </c>
      <c r="P3" s="1" t="s">
        <v>88</v>
      </c>
    </row>
    <row r="4" spans="2:17" x14ac:dyDescent="0.25">
      <c r="B4" s="16" t="s">
        <v>276</v>
      </c>
      <c r="C4" s="7" t="s">
        <v>43</v>
      </c>
      <c r="D4" s="7" t="s">
        <v>37</v>
      </c>
      <c r="F4" s="7" t="s">
        <v>41</v>
      </c>
      <c r="H4" s="11"/>
    </row>
    <row r="5" spans="2:17" x14ac:dyDescent="0.25">
      <c r="B5" s="16" t="s">
        <v>276</v>
      </c>
      <c r="C5" s="7" t="s">
        <v>44</v>
      </c>
      <c r="D5" s="7" t="s">
        <v>37</v>
      </c>
      <c r="F5" s="7" t="s">
        <v>40</v>
      </c>
      <c r="H5" s="11"/>
      <c r="P5" s="1" t="s">
        <v>93</v>
      </c>
    </row>
    <row r="6" spans="2:17" x14ac:dyDescent="0.25">
      <c r="B6" s="17" t="s">
        <v>275</v>
      </c>
      <c r="C6" s="7" t="s">
        <v>45</v>
      </c>
      <c r="D6" s="7" t="s">
        <v>49</v>
      </c>
      <c r="F6" s="7" t="s">
        <v>52</v>
      </c>
      <c r="H6" s="11"/>
      <c r="L6" s="1" t="s">
        <v>22</v>
      </c>
      <c r="M6" s="1" t="s">
        <v>23</v>
      </c>
    </row>
    <row r="7" spans="2:17" x14ac:dyDescent="0.25">
      <c r="B7" s="17" t="s">
        <v>275</v>
      </c>
      <c r="C7" s="7" t="s">
        <v>46</v>
      </c>
      <c r="D7" s="7" t="s">
        <v>49</v>
      </c>
      <c r="F7" s="7" t="s">
        <v>52</v>
      </c>
      <c r="H7" s="11"/>
      <c r="K7" s="1" t="s">
        <v>0</v>
      </c>
      <c r="L7" s="1">
        <v>4.76</v>
      </c>
      <c r="M7" s="1">
        <v>14.98</v>
      </c>
      <c r="P7" s="1" t="s">
        <v>89</v>
      </c>
    </row>
    <row r="8" spans="2:17" x14ac:dyDescent="0.25">
      <c r="B8" s="17" t="s">
        <v>275</v>
      </c>
      <c r="C8" s="7" t="s">
        <v>47</v>
      </c>
      <c r="D8" s="7" t="s">
        <v>50</v>
      </c>
      <c r="H8" s="11"/>
      <c r="K8" s="1" t="s">
        <v>1</v>
      </c>
      <c r="L8" s="2">
        <v>179.58257399999999</v>
      </c>
      <c r="M8" s="2">
        <v>186.03257400000001</v>
      </c>
      <c r="P8" s="1" t="s">
        <v>90</v>
      </c>
    </row>
    <row r="9" spans="2:17" x14ac:dyDescent="0.25">
      <c r="B9" s="17" t="s">
        <v>275</v>
      </c>
      <c r="C9" s="13" t="s">
        <v>48</v>
      </c>
      <c r="D9" s="13" t="s">
        <v>51</v>
      </c>
      <c r="E9" s="13"/>
      <c r="F9" s="13"/>
      <c r="G9" s="13"/>
      <c r="H9" s="14"/>
      <c r="K9" s="1" t="s">
        <v>2</v>
      </c>
      <c r="L9" s="2">
        <f>+L8*L7</f>
        <v>854.81305223999993</v>
      </c>
      <c r="M9" s="2">
        <f>+M8*M7</f>
        <v>2786.7679585200003</v>
      </c>
    </row>
    <row r="10" spans="2:17" x14ac:dyDescent="0.25">
      <c r="B10" s="4"/>
      <c r="C10" s="5"/>
      <c r="D10" s="4" t="s">
        <v>166</v>
      </c>
      <c r="E10" s="5"/>
      <c r="F10" s="5"/>
      <c r="G10" s="5"/>
      <c r="H10" s="6"/>
      <c r="K10" s="1" t="s">
        <v>3</v>
      </c>
      <c r="L10" s="2">
        <f>71.793+0.1</f>
        <v>71.893000000000001</v>
      </c>
      <c r="M10" s="2">
        <f>107.097+0.1</f>
        <v>107.19699999999999</v>
      </c>
      <c r="P10" s="1" t="s">
        <v>91</v>
      </c>
    </row>
    <row r="11" spans="2:17" x14ac:dyDescent="0.25">
      <c r="B11" s="17" t="s">
        <v>163</v>
      </c>
      <c r="C11" s="7" t="s">
        <v>167</v>
      </c>
      <c r="E11" s="7" t="s">
        <v>165</v>
      </c>
      <c r="H11" s="11"/>
      <c r="K11" s="1" t="s">
        <v>4</v>
      </c>
      <c r="L11" s="2">
        <v>0</v>
      </c>
      <c r="M11" s="2">
        <v>0</v>
      </c>
      <c r="P11" s="1" t="s">
        <v>92</v>
      </c>
    </row>
    <row r="12" spans="2:17" x14ac:dyDescent="0.25">
      <c r="B12" s="17" t="s">
        <v>107</v>
      </c>
      <c r="C12" s="21" t="s">
        <v>74</v>
      </c>
      <c r="E12" s="7" t="s">
        <v>106</v>
      </c>
      <c r="H12" s="11"/>
      <c r="K12" s="1" t="s">
        <v>5</v>
      </c>
      <c r="L12" s="2">
        <f>+L11+L9-L10</f>
        <v>782.9200522399999</v>
      </c>
      <c r="M12" s="2">
        <f>+M11+M9-M10</f>
        <v>2679.5709585200002</v>
      </c>
    </row>
    <row r="13" spans="2:17" x14ac:dyDescent="0.25">
      <c r="B13" s="10"/>
      <c r="H13" s="11"/>
      <c r="M13" s="2"/>
    </row>
    <row r="14" spans="2:17" x14ac:dyDescent="0.25">
      <c r="B14" s="10"/>
      <c r="H14" s="11"/>
      <c r="M14" s="2"/>
    </row>
    <row r="15" spans="2:17" x14ac:dyDescent="0.25">
      <c r="B15" s="10"/>
      <c r="H15" s="11"/>
      <c r="K15" s="1" t="s">
        <v>94</v>
      </c>
      <c r="L15" s="19">
        <f>+L10/L8</f>
        <v>0.40033394331456684</v>
      </c>
      <c r="M15" s="19">
        <f>+M10/M8</f>
        <v>0.57622704290486237</v>
      </c>
      <c r="P15" s="27">
        <f>1.7589183/M8</f>
        <v>9.4548941735332851E-3</v>
      </c>
      <c r="Q15" s="1" t="s">
        <v>274</v>
      </c>
    </row>
    <row r="16" spans="2:17" x14ac:dyDescent="0.25">
      <c r="B16" s="12"/>
      <c r="C16" s="13"/>
      <c r="D16" s="13"/>
      <c r="E16" s="13"/>
      <c r="F16" s="13"/>
      <c r="G16" s="13"/>
      <c r="H16" s="14"/>
    </row>
    <row r="18" spans="11:13" x14ac:dyDescent="0.25">
      <c r="K18" s="1" t="s">
        <v>104</v>
      </c>
      <c r="L18" s="2">
        <v>345.84399999999999</v>
      </c>
      <c r="M18" s="2">
        <v>390.78899999999999</v>
      </c>
    </row>
    <row r="19" spans="11:13" x14ac:dyDescent="0.25">
      <c r="K19" s="1" t="s">
        <v>105</v>
      </c>
      <c r="L19" s="2">
        <v>-274.988</v>
      </c>
      <c r="M19" s="2">
        <v>-283.39499999999998</v>
      </c>
    </row>
  </sheetData>
  <hyperlinks>
    <hyperlink ref="B3" location="GPS!A1" display="GPS" xr:uid="{3F61502D-2A4E-40F1-AFB2-D3C5BEC6BF22}"/>
    <hyperlink ref="B6" location="'SLS009'!A1" display="SLS009" xr:uid="{BCCFEFFC-821E-45EC-A43B-C6CB97F19E24}"/>
    <hyperlink ref="M2" r:id="rId1" xr:uid="{A5B10053-BDB9-43A9-9D7E-3DD4870AAA61}"/>
    <hyperlink ref="B11" location="'nelipepimut-S'!A1" display="nelipepimut-S" xr:uid="{1A06028F-5DBD-44CD-A191-E97B1A649EA5}"/>
    <hyperlink ref="B12" location="'OCV-501'!A1" display="OCV-501" xr:uid="{D9EE8A3C-2E69-4816-A65D-D99D2BD07CA0}"/>
    <hyperlink ref="B7:B9" location="'SLS009'!A1" display="SLS009" xr:uid="{D01C8D7C-9D1B-4ECA-929F-9D6C87EA7607}"/>
    <hyperlink ref="B4:B5" location="GPS!A1" display="GPS" xr:uid="{44C5AE9F-AE79-4AD8-9004-49AD025B3CC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3057-3870-4DFD-8E06-88FDDED23778}">
  <dimension ref="A1:EF107"/>
  <sheetViews>
    <sheetView showGridLines="0" zoomScale="115" zoomScaleNormal="115" workbookViewId="0">
      <pane xSplit="2" ySplit="2" topLeftCell="AG3" activePane="bottomRight" state="frozen"/>
      <selection activeCell="B31" sqref="B30:B31"/>
      <selection pane="topRight" activeCell="B31" sqref="B30:B31"/>
      <selection pane="bottomLeft" activeCell="B31" sqref="B30:B31"/>
      <selection pane="bottomRight" activeCell="AI8" sqref="AI8"/>
    </sheetView>
  </sheetViews>
  <sheetFormatPr defaultColWidth="8.88671875" defaultRowHeight="13.2" x14ac:dyDescent="0.25"/>
  <cols>
    <col min="1" max="1" width="4.88671875" style="1" bestFit="1" customWidth="1"/>
    <col min="2" max="2" width="20.6640625" style="1" customWidth="1"/>
    <col min="3" max="16384" width="8.88671875" style="1"/>
  </cols>
  <sheetData>
    <row r="1" spans="1:136" x14ac:dyDescent="0.25">
      <c r="A1" s="3" t="s">
        <v>15</v>
      </c>
    </row>
    <row r="2" spans="1:136" x14ac:dyDescent="0.25">
      <c r="B2" s="1" t="s">
        <v>231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102</v>
      </c>
      <c r="V2" s="1" t="s">
        <v>103</v>
      </c>
      <c r="Z2" s="1">
        <v>2018</v>
      </c>
      <c r="AA2" s="1">
        <f>Z2+1</f>
        <v>2019</v>
      </c>
      <c r="AB2" s="1">
        <f t="shared" ref="AB2:AJ2" si="0">AA2+1</f>
        <v>2020</v>
      </c>
      <c r="AC2" s="1">
        <f t="shared" si="0"/>
        <v>2021</v>
      </c>
      <c r="AD2" s="1">
        <f t="shared" si="0"/>
        <v>2022</v>
      </c>
      <c r="AE2" s="1">
        <f t="shared" si="0"/>
        <v>2023</v>
      </c>
      <c r="AF2" s="1">
        <f t="shared" si="0"/>
        <v>2024</v>
      </c>
      <c r="AG2" s="1">
        <f t="shared" si="0"/>
        <v>2025</v>
      </c>
      <c r="AH2" s="1">
        <f t="shared" si="0"/>
        <v>2026</v>
      </c>
      <c r="AI2" s="1">
        <f t="shared" si="0"/>
        <v>2027</v>
      </c>
      <c r="AJ2" s="1">
        <f t="shared" si="0"/>
        <v>2028</v>
      </c>
      <c r="AK2" s="1">
        <f t="shared" ref="AK2" si="1">AJ2+1</f>
        <v>2029</v>
      </c>
      <c r="AL2" s="1">
        <f t="shared" ref="AL2" si="2">AK2+1</f>
        <v>2030</v>
      </c>
      <c r="AM2" s="1">
        <f t="shared" ref="AM2" si="3">AL2+1</f>
        <v>2031</v>
      </c>
      <c r="AN2" s="1">
        <f t="shared" ref="AN2" si="4">AM2+1</f>
        <v>2032</v>
      </c>
      <c r="AO2" s="1">
        <f t="shared" ref="AO2" si="5">AN2+1</f>
        <v>2033</v>
      </c>
      <c r="AP2" s="1">
        <f t="shared" ref="AP2" si="6">AO2+1</f>
        <v>2034</v>
      </c>
      <c r="AQ2" s="1">
        <f t="shared" ref="AQ2" si="7">AP2+1</f>
        <v>2035</v>
      </c>
      <c r="AR2" s="1">
        <f t="shared" ref="AR2" si="8">AQ2+1</f>
        <v>2036</v>
      </c>
      <c r="AS2" s="1">
        <f t="shared" ref="AS2" si="9">AR2+1</f>
        <v>2037</v>
      </c>
      <c r="AT2" s="1">
        <f t="shared" ref="AT2" si="10">AS2+1</f>
        <v>2038</v>
      </c>
      <c r="AU2" s="1">
        <f t="shared" ref="AU2" si="11">AT2+1</f>
        <v>2039</v>
      </c>
      <c r="AV2" s="1">
        <f t="shared" ref="AV2" si="12">AU2+1</f>
        <v>2040</v>
      </c>
      <c r="AW2" s="1">
        <f t="shared" ref="AW2" si="13">AV2+1</f>
        <v>2041</v>
      </c>
      <c r="AX2" s="1">
        <f t="shared" ref="AX2" si="14">AW2+1</f>
        <v>2042</v>
      </c>
      <c r="AY2" s="1">
        <f t="shared" ref="AY2" si="15">AX2+1</f>
        <v>2043</v>
      </c>
      <c r="AZ2" s="1">
        <f t="shared" ref="AZ2" si="16">AY2+1</f>
        <v>2044</v>
      </c>
      <c r="BA2" s="1">
        <f t="shared" ref="BA2" si="17">AZ2+1</f>
        <v>2045</v>
      </c>
      <c r="BB2" s="1">
        <f t="shared" ref="BB2" si="18">BA2+1</f>
        <v>2046</v>
      </c>
      <c r="BC2" s="1">
        <f t="shared" ref="BC2" si="19">BB2+1</f>
        <v>2047</v>
      </c>
      <c r="BD2" s="1">
        <f t="shared" ref="BD2" si="20">BC2+1</f>
        <v>2048</v>
      </c>
      <c r="BE2" s="1">
        <f t="shared" ref="BE2" si="21">BD2+1</f>
        <v>2049</v>
      </c>
      <c r="BF2" s="1">
        <f t="shared" ref="BF2" si="22">BE2+1</f>
        <v>2050</v>
      </c>
      <c r="BG2" s="1">
        <f t="shared" ref="BG2" si="23">BF2+1</f>
        <v>2051</v>
      </c>
      <c r="BH2" s="1">
        <f t="shared" ref="BH2" si="24">BG2+1</f>
        <v>2052</v>
      </c>
      <c r="BI2" s="1">
        <f t="shared" ref="BI2" si="25">BH2+1</f>
        <v>2053</v>
      </c>
      <c r="BJ2" s="1">
        <f t="shared" ref="BJ2" si="26">BI2+1</f>
        <v>2054</v>
      </c>
      <c r="BK2" s="1">
        <f t="shared" ref="BK2" si="27">BJ2+1</f>
        <v>2055</v>
      </c>
      <c r="BL2" s="1">
        <f t="shared" ref="BL2" si="28">BK2+1</f>
        <v>2056</v>
      </c>
      <c r="BM2" s="1">
        <f t="shared" ref="BM2" si="29">BL2+1</f>
        <v>2057</v>
      </c>
      <c r="BN2" s="1">
        <f t="shared" ref="BN2" si="30">BM2+1</f>
        <v>2058</v>
      </c>
      <c r="BO2" s="1">
        <f t="shared" ref="BO2" si="31">BN2+1</f>
        <v>2059</v>
      </c>
      <c r="BP2" s="1">
        <f t="shared" ref="BP2" si="32">BO2+1</f>
        <v>2060</v>
      </c>
      <c r="BQ2" s="1">
        <f t="shared" ref="BQ2" si="33">BP2+1</f>
        <v>2061</v>
      </c>
      <c r="BR2" s="1">
        <f t="shared" ref="BR2" si="34">BQ2+1</f>
        <v>2062</v>
      </c>
      <c r="BS2" s="1">
        <f t="shared" ref="BS2" si="35">BR2+1</f>
        <v>2063</v>
      </c>
      <c r="BT2" s="1">
        <f t="shared" ref="BT2" si="36">BS2+1</f>
        <v>2064</v>
      </c>
      <c r="BU2" s="1">
        <f t="shared" ref="BU2" si="37">BT2+1</f>
        <v>2065</v>
      </c>
      <c r="BV2" s="1">
        <f t="shared" ref="BV2" si="38">BU2+1</f>
        <v>2066</v>
      </c>
      <c r="BW2" s="1">
        <f t="shared" ref="BW2" si="39">BV2+1</f>
        <v>2067</v>
      </c>
      <c r="BX2" s="1">
        <f t="shared" ref="BX2" si="40">BW2+1</f>
        <v>2068</v>
      </c>
      <c r="BY2" s="1">
        <f t="shared" ref="BY2" si="41">BX2+1</f>
        <v>2069</v>
      </c>
      <c r="BZ2" s="1">
        <f t="shared" ref="BZ2" si="42">BY2+1</f>
        <v>2070</v>
      </c>
      <c r="CA2" s="1">
        <f t="shared" ref="CA2" si="43">BZ2+1</f>
        <v>2071</v>
      </c>
      <c r="CB2" s="1">
        <f t="shared" ref="CB2" si="44">CA2+1</f>
        <v>2072</v>
      </c>
      <c r="CC2" s="1">
        <f t="shared" ref="CC2" si="45">CB2+1</f>
        <v>2073</v>
      </c>
      <c r="CD2" s="1">
        <f t="shared" ref="CD2" si="46">CC2+1</f>
        <v>2074</v>
      </c>
      <c r="CE2" s="1">
        <f t="shared" ref="CE2" si="47">CD2+1</f>
        <v>2075</v>
      </c>
      <c r="CF2" s="1">
        <f t="shared" ref="CF2" si="48">CE2+1</f>
        <v>2076</v>
      </c>
      <c r="CG2" s="1">
        <f t="shared" ref="CG2" si="49">CF2+1</f>
        <v>2077</v>
      </c>
      <c r="CH2" s="1">
        <f t="shared" ref="CH2" si="50">CG2+1</f>
        <v>2078</v>
      </c>
      <c r="CI2" s="1">
        <f t="shared" ref="CI2" si="51">CH2+1</f>
        <v>2079</v>
      </c>
      <c r="CJ2" s="1">
        <f t="shared" ref="CJ2" si="52">CI2+1</f>
        <v>2080</v>
      </c>
      <c r="CK2" s="1">
        <f t="shared" ref="CK2" si="53">CJ2+1</f>
        <v>2081</v>
      </c>
      <c r="CL2" s="1">
        <f t="shared" ref="CL2" si="54">CK2+1</f>
        <v>2082</v>
      </c>
      <c r="CM2" s="1">
        <f t="shared" ref="CM2" si="55">CL2+1</f>
        <v>2083</v>
      </c>
      <c r="CN2" s="1">
        <f t="shared" ref="CN2" si="56">CM2+1</f>
        <v>2084</v>
      </c>
      <c r="CO2" s="1">
        <f t="shared" ref="CO2" si="57">CN2+1</f>
        <v>2085</v>
      </c>
      <c r="CP2" s="1">
        <f t="shared" ref="CP2" si="58">CO2+1</f>
        <v>2086</v>
      </c>
      <c r="CQ2" s="1">
        <f t="shared" ref="CQ2" si="59">CP2+1</f>
        <v>2087</v>
      </c>
      <c r="CR2" s="1">
        <f t="shared" ref="CR2" si="60">CQ2+1</f>
        <v>2088</v>
      </c>
      <c r="CS2" s="1">
        <f t="shared" ref="CS2" si="61">CR2+1</f>
        <v>2089</v>
      </c>
      <c r="CT2" s="1">
        <f t="shared" ref="CT2" si="62">CS2+1</f>
        <v>2090</v>
      </c>
      <c r="CU2" s="1">
        <f t="shared" ref="CU2" si="63">CT2+1</f>
        <v>2091</v>
      </c>
      <c r="CV2" s="1">
        <f t="shared" ref="CV2" si="64">CU2+1</f>
        <v>2092</v>
      </c>
      <c r="CW2" s="1">
        <f t="shared" ref="CW2" si="65">CV2+1</f>
        <v>2093</v>
      </c>
      <c r="CX2" s="1">
        <f t="shared" ref="CX2" si="66">CW2+1</f>
        <v>2094</v>
      </c>
      <c r="CY2" s="1">
        <f t="shared" ref="CY2" si="67">CX2+1</f>
        <v>2095</v>
      </c>
      <c r="CZ2" s="1">
        <f t="shared" ref="CZ2" si="68">CY2+1</f>
        <v>2096</v>
      </c>
      <c r="DA2" s="1">
        <f t="shared" ref="DA2" si="69">CZ2+1</f>
        <v>2097</v>
      </c>
      <c r="DB2" s="1">
        <f t="shared" ref="DB2" si="70">DA2+1</f>
        <v>2098</v>
      </c>
      <c r="DC2" s="1">
        <f t="shared" ref="DC2" si="71">DB2+1</f>
        <v>2099</v>
      </c>
      <c r="DD2" s="1">
        <f t="shared" ref="DD2" si="72">DC2+1</f>
        <v>2100</v>
      </c>
      <c r="DE2" s="1">
        <f t="shared" ref="DE2" si="73">DD2+1</f>
        <v>2101</v>
      </c>
      <c r="DF2" s="1">
        <f t="shared" ref="DF2" si="74">DE2+1</f>
        <v>2102</v>
      </c>
      <c r="DG2" s="1">
        <f t="shared" ref="DG2" si="75">DF2+1</f>
        <v>2103</v>
      </c>
      <c r="DH2" s="1">
        <f t="shared" ref="DH2" si="76">DG2+1</f>
        <v>2104</v>
      </c>
      <c r="DI2" s="1">
        <f t="shared" ref="DI2" si="77">DH2+1</f>
        <v>2105</v>
      </c>
      <c r="DJ2" s="1">
        <f t="shared" ref="DJ2" si="78">DI2+1</f>
        <v>2106</v>
      </c>
      <c r="DK2" s="1">
        <f t="shared" ref="DK2" si="79">DJ2+1</f>
        <v>2107</v>
      </c>
      <c r="DL2" s="1">
        <f t="shared" ref="DL2" si="80">DK2+1</f>
        <v>2108</v>
      </c>
      <c r="DM2" s="1">
        <f t="shared" ref="DM2" si="81">DL2+1</f>
        <v>2109</v>
      </c>
      <c r="DN2" s="1">
        <f t="shared" ref="DN2" si="82">DM2+1</f>
        <v>2110</v>
      </c>
      <c r="DO2" s="1">
        <f t="shared" ref="DO2" si="83">DN2+1</f>
        <v>2111</v>
      </c>
      <c r="DP2" s="1">
        <f t="shared" ref="DP2" si="84">DO2+1</f>
        <v>2112</v>
      </c>
      <c r="DQ2" s="1">
        <f t="shared" ref="DQ2" si="85">DP2+1</f>
        <v>2113</v>
      </c>
      <c r="DR2" s="1">
        <f t="shared" ref="DR2" si="86">DQ2+1</f>
        <v>2114</v>
      </c>
      <c r="DS2" s="1">
        <f t="shared" ref="DS2" si="87">DR2+1</f>
        <v>2115</v>
      </c>
      <c r="DT2" s="1">
        <f t="shared" ref="DT2" si="88">DS2+1</f>
        <v>2116</v>
      </c>
      <c r="DU2" s="1">
        <f t="shared" ref="DU2" si="89">DT2+1</f>
        <v>2117</v>
      </c>
      <c r="DV2" s="1">
        <f t="shared" ref="DV2" si="90">DU2+1</f>
        <v>2118</v>
      </c>
      <c r="DW2" s="1">
        <f t="shared" ref="DW2" si="91">DV2+1</f>
        <v>2119</v>
      </c>
      <c r="DX2" s="1">
        <f t="shared" ref="DX2" si="92">DW2+1</f>
        <v>2120</v>
      </c>
      <c r="DY2" s="1">
        <f t="shared" ref="DY2" si="93">DX2+1</f>
        <v>2121</v>
      </c>
      <c r="DZ2" s="1">
        <f t="shared" ref="DZ2" si="94">DY2+1</f>
        <v>2122</v>
      </c>
      <c r="EA2" s="1">
        <f t="shared" ref="EA2" si="95">DZ2+1</f>
        <v>2123</v>
      </c>
      <c r="EB2" s="1">
        <f t="shared" ref="EB2" si="96">EA2+1</f>
        <v>2124</v>
      </c>
      <c r="EC2" s="1">
        <f t="shared" ref="EC2" si="97">EB2+1</f>
        <v>2125</v>
      </c>
      <c r="ED2" s="1">
        <f t="shared" ref="ED2" si="98">EC2+1</f>
        <v>2126</v>
      </c>
      <c r="EE2" s="1">
        <f t="shared" ref="EE2" si="99">ED2+1</f>
        <v>2127</v>
      </c>
      <c r="EF2" s="1" t="s">
        <v>25</v>
      </c>
    </row>
    <row r="3" spans="1:136" x14ac:dyDescent="0.2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EF3" s="1" t="s">
        <v>25</v>
      </c>
    </row>
    <row r="4" spans="1:136" x14ac:dyDescent="0.25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EF4" s="1" t="s">
        <v>25</v>
      </c>
    </row>
    <row r="5" spans="1:136" x14ac:dyDescent="0.25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EF5" s="1" t="s">
        <v>25</v>
      </c>
    </row>
    <row r="6" spans="1:136" x14ac:dyDescent="0.2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EF6" s="1" t="s">
        <v>25</v>
      </c>
    </row>
    <row r="7" spans="1:136" x14ac:dyDescent="0.25">
      <c r="B7" s="1" t="s">
        <v>232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>
        <v>4500</v>
      </c>
      <c r="AI7" s="2">
        <v>4500</v>
      </c>
      <c r="AJ7" s="2">
        <v>4500</v>
      </c>
      <c r="AK7" s="2">
        <v>4500</v>
      </c>
      <c r="AL7" s="2">
        <v>4500</v>
      </c>
      <c r="AM7" s="2">
        <v>4500</v>
      </c>
      <c r="AN7" s="2">
        <v>4500</v>
      </c>
      <c r="AO7" s="2">
        <v>4500</v>
      </c>
      <c r="AP7" s="2">
        <v>4500</v>
      </c>
      <c r="AQ7" s="2">
        <v>4500</v>
      </c>
      <c r="AR7" s="2">
        <v>4500</v>
      </c>
      <c r="AS7" s="2">
        <v>4500</v>
      </c>
      <c r="AT7" s="2">
        <v>4500</v>
      </c>
      <c r="AU7" s="2">
        <v>4500</v>
      </c>
      <c r="AV7" s="2">
        <v>4500</v>
      </c>
      <c r="AW7" s="2">
        <v>4500</v>
      </c>
      <c r="AX7" s="2">
        <v>4500</v>
      </c>
      <c r="AY7" s="2">
        <v>4500</v>
      </c>
      <c r="AZ7" s="2">
        <v>4500</v>
      </c>
      <c r="BA7" s="2">
        <v>4500</v>
      </c>
      <c r="BB7" s="2">
        <v>4500</v>
      </c>
      <c r="BC7" s="2">
        <v>4500</v>
      </c>
      <c r="BD7" s="2">
        <v>4500</v>
      </c>
      <c r="BE7" s="2">
        <v>4500</v>
      </c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EF7" s="1" t="s">
        <v>25</v>
      </c>
    </row>
    <row r="8" spans="1:136" s="22" customFormat="1" x14ac:dyDescent="0.25">
      <c r="B8" s="22" t="s">
        <v>221</v>
      </c>
      <c r="AI8" s="22">
        <v>0.3</v>
      </c>
      <c r="AJ8" s="22">
        <f>+AI8*1.03</f>
        <v>0.309</v>
      </c>
      <c r="AK8" s="22">
        <f t="shared" ref="AK8:BC8" si="100">+AJ8*1.03</f>
        <v>0.31827</v>
      </c>
      <c r="AL8" s="22">
        <f t="shared" si="100"/>
        <v>0.3278181</v>
      </c>
      <c r="AM8" s="22">
        <f t="shared" si="100"/>
        <v>0.33765264300000003</v>
      </c>
      <c r="AN8" s="22">
        <f t="shared" si="100"/>
        <v>0.34778222229000005</v>
      </c>
      <c r="AO8" s="22">
        <f t="shared" si="100"/>
        <v>0.35821568895870004</v>
      </c>
      <c r="AP8" s="22">
        <f t="shared" si="100"/>
        <v>0.36896215962746104</v>
      </c>
      <c r="AQ8" s="22">
        <f t="shared" si="100"/>
        <v>0.38003102441628489</v>
      </c>
      <c r="AR8" s="22">
        <f t="shared" si="100"/>
        <v>0.39143195514877344</v>
      </c>
      <c r="AS8" s="22">
        <f t="shared" si="100"/>
        <v>0.40317491380323667</v>
      </c>
      <c r="AT8" s="22">
        <f t="shared" si="100"/>
        <v>0.41527016121733379</v>
      </c>
      <c r="AU8" s="22">
        <f t="shared" si="100"/>
        <v>0.42772826605385383</v>
      </c>
      <c r="AV8" s="22">
        <f t="shared" si="100"/>
        <v>0.44056011403546946</v>
      </c>
      <c r="AW8" s="22">
        <f t="shared" si="100"/>
        <v>0.45377691745653354</v>
      </c>
      <c r="AX8" s="22">
        <f t="shared" si="100"/>
        <v>0.46739022498022953</v>
      </c>
      <c r="AY8" s="22">
        <f t="shared" si="100"/>
        <v>0.48141193172963642</v>
      </c>
      <c r="AZ8" s="22">
        <f t="shared" si="100"/>
        <v>0.49585428968152551</v>
      </c>
      <c r="BA8" s="22">
        <f t="shared" si="100"/>
        <v>0.51072991837197124</v>
      </c>
      <c r="BB8" s="22">
        <f t="shared" si="100"/>
        <v>0.52605181592313044</v>
      </c>
      <c r="BC8" s="22">
        <f t="shared" si="100"/>
        <v>0.54183337040082435</v>
      </c>
      <c r="EF8" s="22" t="s">
        <v>25</v>
      </c>
    </row>
    <row r="9" spans="1:136" s="24" customFormat="1" x14ac:dyDescent="0.25">
      <c r="B9" s="24" t="s">
        <v>240</v>
      </c>
      <c r="AI9" s="24">
        <v>0.4</v>
      </c>
      <c r="AJ9" s="24">
        <v>0.8</v>
      </c>
      <c r="AK9" s="24">
        <v>1</v>
      </c>
      <c r="AL9" s="24">
        <v>1</v>
      </c>
      <c r="AM9" s="24">
        <v>1</v>
      </c>
      <c r="AN9" s="24">
        <v>1</v>
      </c>
      <c r="AO9" s="24">
        <v>1</v>
      </c>
      <c r="AP9" s="24">
        <v>1</v>
      </c>
      <c r="AQ9" s="24">
        <v>1</v>
      </c>
      <c r="AR9" s="24">
        <v>1</v>
      </c>
      <c r="AS9" s="24">
        <v>1</v>
      </c>
      <c r="AT9" s="24">
        <v>1</v>
      </c>
      <c r="AU9" s="24">
        <v>1</v>
      </c>
      <c r="AV9" s="24">
        <v>1</v>
      </c>
      <c r="AW9" s="24">
        <v>1</v>
      </c>
      <c r="AX9" s="24">
        <v>1</v>
      </c>
      <c r="AY9" s="24">
        <v>1</v>
      </c>
      <c r="AZ9" s="24">
        <v>1</v>
      </c>
      <c r="BA9" s="24">
        <v>1</v>
      </c>
      <c r="BB9" s="24">
        <v>1</v>
      </c>
      <c r="BC9" s="24">
        <v>1</v>
      </c>
      <c r="EF9" s="24" t="s">
        <v>25</v>
      </c>
    </row>
    <row r="10" spans="1:136" x14ac:dyDescent="0.2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EF10" s="1" t="s">
        <v>25</v>
      </c>
    </row>
    <row r="11" spans="1:136" x14ac:dyDescent="0.2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EF11" s="1" t="s">
        <v>25</v>
      </c>
    </row>
    <row r="12" spans="1:136" x14ac:dyDescent="0.2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EF12" s="1" t="s">
        <v>25</v>
      </c>
    </row>
    <row r="13" spans="1:136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EF13" s="1" t="s">
        <v>25</v>
      </c>
    </row>
    <row r="14" spans="1:136" x14ac:dyDescent="0.2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EF14" s="1" t="s">
        <v>25</v>
      </c>
    </row>
    <row r="15" spans="1:136" s="20" customFormat="1" x14ac:dyDescent="0.25">
      <c r="B15" s="20" t="s">
        <v>233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>
        <f>+AI9*AI8*AI7</f>
        <v>540</v>
      </c>
      <c r="AJ15" s="23">
        <f t="shared" ref="AJ15:BC15" si="101">+AJ9*AJ8*AJ7</f>
        <v>1112.4000000000001</v>
      </c>
      <c r="AK15" s="23">
        <f t="shared" si="101"/>
        <v>1432.2149999999999</v>
      </c>
      <c r="AL15" s="23">
        <f t="shared" si="101"/>
        <v>1475.18145</v>
      </c>
      <c r="AM15" s="23">
        <f t="shared" si="101"/>
        <v>1519.4368935000002</v>
      </c>
      <c r="AN15" s="23">
        <f t="shared" si="101"/>
        <v>1565.0200003050002</v>
      </c>
      <c r="AO15" s="23">
        <f t="shared" si="101"/>
        <v>1611.9706003141503</v>
      </c>
      <c r="AP15" s="23">
        <f t="shared" si="101"/>
        <v>1660.3297183235748</v>
      </c>
      <c r="AQ15" s="23">
        <f t="shared" si="101"/>
        <v>1710.1396098732821</v>
      </c>
      <c r="AR15" s="23">
        <f t="shared" si="101"/>
        <v>1761.4437981694805</v>
      </c>
      <c r="AS15" s="23">
        <f t="shared" si="101"/>
        <v>1814.2871121145649</v>
      </c>
      <c r="AT15" s="23">
        <f t="shared" si="101"/>
        <v>1868.715725478002</v>
      </c>
      <c r="AU15" s="23">
        <f t="shared" si="101"/>
        <v>1924.7771972423423</v>
      </c>
      <c r="AV15" s="23">
        <f t="shared" si="101"/>
        <v>1982.5205131596126</v>
      </c>
      <c r="AW15" s="23">
        <f t="shared" si="101"/>
        <v>2041.9961285544009</v>
      </c>
      <c r="AX15" s="23">
        <f t="shared" si="101"/>
        <v>2103.2560124110328</v>
      </c>
      <c r="AY15" s="23">
        <f t="shared" si="101"/>
        <v>2166.3536927833638</v>
      </c>
      <c r="AZ15" s="23">
        <f t="shared" si="101"/>
        <v>2231.3443035668647</v>
      </c>
      <c r="BA15" s="23">
        <f t="shared" si="101"/>
        <v>2298.2846326738704</v>
      </c>
      <c r="BB15" s="23">
        <f t="shared" si="101"/>
        <v>2367.2331716540871</v>
      </c>
      <c r="BC15" s="23">
        <f t="shared" si="101"/>
        <v>2438.2501668037098</v>
      </c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EF15" s="20" t="s">
        <v>25</v>
      </c>
    </row>
    <row r="16" spans="1:136" x14ac:dyDescent="0.25">
      <c r="B16" s="1" t="s">
        <v>234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>
        <f>+AI15-AI17</f>
        <v>54</v>
      </c>
      <c r="AJ16" s="2">
        <f t="shared" ref="AJ16:BC16" si="102">+AJ15-AJ17</f>
        <v>111.24000000000001</v>
      </c>
      <c r="AK16" s="2">
        <f t="shared" si="102"/>
        <v>143.22149999999988</v>
      </c>
      <c r="AL16" s="2">
        <f t="shared" si="102"/>
        <v>147.518145</v>
      </c>
      <c r="AM16" s="2">
        <f t="shared" si="102"/>
        <v>151.94368934999989</v>
      </c>
      <c r="AN16" s="2">
        <f t="shared" si="102"/>
        <v>156.50200003050008</v>
      </c>
      <c r="AO16" s="2">
        <f t="shared" si="102"/>
        <v>161.19706003141505</v>
      </c>
      <c r="AP16" s="2">
        <f t="shared" si="102"/>
        <v>166.03297183235736</v>
      </c>
      <c r="AQ16" s="2">
        <f t="shared" si="102"/>
        <v>171.01396098732812</v>
      </c>
      <c r="AR16" s="2">
        <f t="shared" si="102"/>
        <v>176.144379816948</v>
      </c>
      <c r="AS16" s="2">
        <f t="shared" si="102"/>
        <v>181.4287112114564</v>
      </c>
      <c r="AT16" s="2">
        <f t="shared" si="102"/>
        <v>186.87157254780027</v>
      </c>
      <c r="AU16" s="2">
        <f t="shared" si="102"/>
        <v>192.47771972423425</v>
      </c>
      <c r="AV16" s="2">
        <f t="shared" si="102"/>
        <v>198.25205131596113</v>
      </c>
      <c r="AW16" s="2">
        <f t="shared" si="102"/>
        <v>204.19961285544014</v>
      </c>
      <c r="AX16" s="2">
        <f t="shared" si="102"/>
        <v>210.32560124110319</v>
      </c>
      <c r="AY16" s="2">
        <f t="shared" si="102"/>
        <v>216.63536927833638</v>
      </c>
      <c r="AZ16" s="2">
        <f t="shared" si="102"/>
        <v>223.13443035668638</v>
      </c>
      <c r="BA16" s="2">
        <f t="shared" si="102"/>
        <v>229.82846326738718</v>
      </c>
      <c r="BB16" s="2">
        <f t="shared" si="102"/>
        <v>236.72331716540884</v>
      </c>
      <c r="BC16" s="2">
        <f t="shared" si="102"/>
        <v>243.82501668037094</v>
      </c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EF16" s="1" t="s">
        <v>25</v>
      </c>
    </row>
    <row r="17" spans="2:136" x14ac:dyDescent="0.25">
      <c r="B17" s="1" t="s">
        <v>235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>
        <f t="shared" ref="AI17:BC17" si="103">+AI15*AI31</f>
        <v>486</v>
      </c>
      <c r="AJ17" s="2">
        <f t="shared" si="103"/>
        <v>1001.1600000000001</v>
      </c>
      <c r="AK17" s="2">
        <f t="shared" si="103"/>
        <v>1288.9935</v>
      </c>
      <c r="AL17" s="2">
        <f t="shared" si="103"/>
        <v>1327.663305</v>
      </c>
      <c r="AM17" s="2">
        <f t="shared" si="103"/>
        <v>1367.4932041500003</v>
      </c>
      <c r="AN17" s="2">
        <f t="shared" si="103"/>
        <v>1408.5180002745001</v>
      </c>
      <c r="AO17" s="2">
        <f t="shared" si="103"/>
        <v>1450.7735402827352</v>
      </c>
      <c r="AP17" s="2">
        <f t="shared" si="103"/>
        <v>1494.2967464912174</v>
      </c>
      <c r="AQ17" s="2">
        <f t="shared" si="103"/>
        <v>1539.125648885954</v>
      </c>
      <c r="AR17" s="2">
        <f t="shared" si="103"/>
        <v>1585.2994183525325</v>
      </c>
      <c r="AS17" s="2">
        <f t="shared" si="103"/>
        <v>1632.8584009031085</v>
      </c>
      <c r="AT17" s="2">
        <f t="shared" si="103"/>
        <v>1681.8441529302017</v>
      </c>
      <c r="AU17" s="2">
        <f t="shared" si="103"/>
        <v>1732.299477518108</v>
      </c>
      <c r="AV17" s="2">
        <f t="shared" si="103"/>
        <v>1784.2684618436515</v>
      </c>
      <c r="AW17" s="2">
        <f t="shared" si="103"/>
        <v>1837.7965156989608</v>
      </c>
      <c r="AX17" s="2">
        <f t="shared" si="103"/>
        <v>1892.9304111699296</v>
      </c>
      <c r="AY17" s="2">
        <f t="shared" si="103"/>
        <v>1949.7183235050275</v>
      </c>
      <c r="AZ17" s="2">
        <f t="shared" si="103"/>
        <v>2008.2098732101783</v>
      </c>
      <c r="BA17" s="2">
        <f t="shared" si="103"/>
        <v>2068.4561694064832</v>
      </c>
      <c r="BB17" s="2">
        <f t="shared" si="103"/>
        <v>2130.5098544886782</v>
      </c>
      <c r="BC17" s="2">
        <f t="shared" si="103"/>
        <v>2194.4251501233389</v>
      </c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EF17" s="1" t="s">
        <v>25</v>
      </c>
    </row>
    <row r="18" spans="2:136" x14ac:dyDescent="0.25">
      <c r="B18" s="1" t="s">
        <v>241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EF18" s="1" t="s">
        <v>25</v>
      </c>
    </row>
    <row r="19" spans="2:136" x14ac:dyDescent="0.25">
      <c r="B19" s="1" t="s">
        <v>242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>
        <f>+AI17-AI20</f>
        <v>216</v>
      </c>
      <c r="AJ19" s="2">
        <f t="shared" ref="AJ19:BC19" si="104">+AJ17-AJ20</f>
        <v>444.96000000000004</v>
      </c>
      <c r="AK19" s="2">
        <f t="shared" si="104"/>
        <v>572.88600000000008</v>
      </c>
      <c r="AL19" s="2">
        <f t="shared" si="104"/>
        <v>590.07258000000002</v>
      </c>
      <c r="AM19" s="2">
        <f t="shared" si="104"/>
        <v>607.77475740000023</v>
      </c>
      <c r="AN19" s="2">
        <f t="shared" si="104"/>
        <v>626.008000122</v>
      </c>
      <c r="AO19" s="2">
        <f t="shared" si="104"/>
        <v>644.78824012566008</v>
      </c>
      <c r="AP19" s="2">
        <f t="shared" si="104"/>
        <v>664.13188732943001</v>
      </c>
      <c r="AQ19" s="2">
        <f t="shared" si="104"/>
        <v>684.05584394931293</v>
      </c>
      <c r="AR19" s="2">
        <f t="shared" si="104"/>
        <v>704.57751926779224</v>
      </c>
      <c r="AS19" s="2">
        <f t="shared" si="104"/>
        <v>725.71484484582606</v>
      </c>
      <c r="AT19" s="2">
        <f t="shared" si="104"/>
        <v>747.48629019120074</v>
      </c>
      <c r="AU19" s="2">
        <f t="shared" si="104"/>
        <v>769.91087889693688</v>
      </c>
      <c r="AV19" s="2">
        <f t="shared" si="104"/>
        <v>793.00820526384518</v>
      </c>
      <c r="AW19" s="2">
        <f t="shared" si="104"/>
        <v>816.79845142176032</v>
      </c>
      <c r="AX19" s="2">
        <f t="shared" si="104"/>
        <v>841.3024049644132</v>
      </c>
      <c r="AY19" s="2">
        <f t="shared" si="104"/>
        <v>866.54147711334554</v>
      </c>
      <c r="AZ19" s="2">
        <f t="shared" si="104"/>
        <v>892.53772142674597</v>
      </c>
      <c r="BA19" s="2">
        <f t="shared" si="104"/>
        <v>919.31385306954803</v>
      </c>
      <c r="BB19" s="2">
        <f t="shared" si="104"/>
        <v>946.89326866163469</v>
      </c>
      <c r="BC19" s="2">
        <f t="shared" si="104"/>
        <v>975.30006672148397</v>
      </c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EF19" s="1" t="s">
        <v>25</v>
      </c>
    </row>
    <row r="20" spans="2:136" x14ac:dyDescent="0.25">
      <c r="B20" s="1" t="s">
        <v>243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>
        <f>+AI15*AI32</f>
        <v>270</v>
      </c>
      <c r="AJ20" s="2">
        <f t="shared" ref="AJ20:BC20" si="105">+AJ15*AJ32</f>
        <v>556.20000000000005</v>
      </c>
      <c r="AK20" s="2">
        <f t="shared" si="105"/>
        <v>716.10749999999996</v>
      </c>
      <c r="AL20" s="2">
        <f t="shared" si="105"/>
        <v>737.59072500000002</v>
      </c>
      <c r="AM20" s="2">
        <f t="shared" si="105"/>
        <v>759.71844675000011</v>
      </c>
      <c r="AN20" s="2">
        <f t="shared" si="105"/>
        <v>782.51000015250008</v>
      </c>
      <c r="AO20" s="2">
        <f t="shared" si="105"/>
        <v>805.98530015707513</v>
      </c>
      <c r="AP20" s="2">
        <f t="shared" si="105"/>
        <v>830.16485916178738</v>
      </c>
      <c r="AQ20" s="2">
        <f t="shared" si="105"/>
        <v>855.06980493664105</v>
      </c>
      <c r="AR20" s="2">
        <f t="shared" si="105"/>
        <v>880.72189908474024</v>
      </c>
      <c r="AS20" s="2">
        <f t="shared" si="105"/>
        <v>907.14355605728247</v>
      </c>
      <c r="AT20" s="2">
        <f t="shared" si="105"/>
        <v>934.35786273900101</v>
      </c>
      <c r="AU20" s="2">
        <f t="shared" si="105"/>
        <v>962.38859862117113</v>
      </c>
      <c r="AV20" s="2">
        <f t="shared" si="105"/>
        <v>991.26025657980631</v>
      </c>
      <c r="AW20" s="2">
        <f t="shared" si="105"/>
        <v>1020.9980642772005</v>
      </c>
      <c r="AX20" s="2">
        <f t="shared" si="105"/>
        <v>1051.6280062055164</v>
      </c>
      <c r="AY20" s="2">
        <f t="shared" si="105"/>
        <v>1083.1768463916819</v>
      </c>
      <c r="AZ20" s="2">
        <f t="shared" si="105"/>
        <v>1115.6721517834324</v>
      </c>
      <c r="BA20" s="2">
        <f t="shared" si="105"/>
        <v>1149.1423163369352</v>
      </c>
      <c r="BB20" s="2">
        <f t="shared" si="105"/>
        <v>1183.6165858270435</v>
      </c>
      <c r="BC20" s="2">
        <f t="shared" si="105"/>
        <v>1219.1250834018549</v>
      </c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EF20" s="1" t="s">
        <v>25</v>
      </c>
    </row>
    <row r="21" spans="2:136" x14ac:dyDescent="0.25">
      <c r="B21" s="1" t="s">
        <v>244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>
        <v>10</v>
      </c>
      <c r="AJ21" s="2">
        <f>+AI21*1.03</f>
        <v>10.3</v>
      </c>
      <c r="AK21" s="2">
        <f t="shared" ref="AK21:BC21" si="106">+AJ21*1.03</f>
        <v>10.609000000000002</v>
      </c>
      <c r="AL21" s="2">
        <f t="shared" si="106"/>
        <v>10.927270000000002</v>
      </c>
      <c r="AM21" s="2">
        <f t="shared" si="106"/>
        <v>11.255088100000002</v>
      </c>
      <c r="AN21" s="2">
        <f t="shared" si="106"/>
        <v>11.592740743000002</v>
      </c>
      <c r="AO21" s="2">
        <f t="shared" si="106"/>
        <v>11.940522965290002</v>
      </c>
      <c r="AP21" s="2">
        <f t="shared" si="106"/>
        <v>12.298738654248703</v>
      </c>
      <c r="AQ21" s="2">
        <f t="shared" si="106"/>
        <v>12.667700813876165</v>
      </c>
      <c r="AR21" s="2">
        <f t="shared" si="106"/>
        <v>13.047731838292449</v>
      </c>
      <c r="AS21" s="2">
        <f t="shared" si="106"/>
        <v>13.439163793441223</v>
      </c>
      <c r="AT21" s="2">
        <f t="shared" si="106"/>
        <v>13.84233870724446</v>
      </c>
      <c r="AU21" s="2">
        <f t="shared" si="106"/>
        <v>14.257608868461794</v>
      </c>
      <c r="AV21" s="2">
        <f t="shared" si="106"/>
        <v>14.685337134515649</v>
      </c>
      <c r="AW21" s="2">
        <f t="shared" si="106"/>
        <v>15.125897248551119</v>
      </c>
      <c r="AX21" s="2">
        <f t="shared" si="106"/>
        <v>15.579674166007653</v>
      </c>
      <c r="AY21" s="2">
        <f t="shared" si="106"/>
        <v>16.047064390987885</v>
      </c>
      <c r="AZ21" s="2">
        <f t="shared" si="106"/>
        <v>16.52847632271752</v>
      </c>
      <c r="BA21" s="2">
        <f t="shared" si="106"/>
        <v>17.024330612399044</v>
      </c>
      <c r="BB21" s="2">
        <f t="shared" si="106"/>
        <v>17.535060530771016</v>
      </c>
      <c r="BC21" s="2">
        <f t="shared" si="106"/>
        <v>18.061112346694149</v>
      </c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EF21" s="1" t="s">
        <v>25</v>
      </c>
    </row>
    <row r="22" spans="2:136" x14ac:dyDescent="0.25">
      <c r="B22" s="1" t="s">
        <v>245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>
        <f>+AI20-AI21</f>
        <v>260</v>
      </c>
      <c r="AJ22" s="2">
        <f>+AJ20-AJ21</f>
        <v>545.90000000000009</v>
      </c>
      <c r="AK22" s="2">
        <f t="shared" ref="AK22:BC22" si="107">+AK20-AK21</f>
        <v>705.49849999999992</v>
      </c>
      <c r="AL22" s="2">
        <f t="shared" si="107"/>
        <v>726.663455</v>
      </c>
      <c r="AM22" s="2">
        <f t="shared" si="107"/>
        <v>748.46335865000015</v>
      </c>
      <c r="AN22" s="2">
        <f t="shared" si="107"/>
        <v>770.91725940950005</v>
      </c>
      <c r="AO22" s="2">
        <f t="shared" si="107"/>
        <v>794.0447771917851</v>
      </c>
      <c r="AP22" s="2">
        <f t="shared" si="107"/>
        <v>817.86612050753865</v>
      </c>
      <c r="AQ22" s="2">
        <f t="shared" si="107"/>
        <v>842.40210412276485</v>
      </c>
      <c r="AR22" s="2">
        <f t="shared" si="107"/>
        <v>867.67416724644784</v>
      </c>
      <c r="AS22" s="2">
        <f t="shared" si="107"/>
        <v>893.70439226384121</v>
      </c>
      <c r="AT22" s="2">
        <f t="shared" si="107"/>
        <v>920.51552403175651</v>
      </c>
      <c r="AU22" s="2">
        <f t="shared" si="107"/>
        <v>948.1309897527093</v>
      </c>
      <c r="AV22" s="2">
        <f t="shared" si="107"/>
        <v>976.57491944529067</v>
      </c>
      <c r="AW22" s="2">
        <f t="shared" si="107"/>
        <v>1005.8721670286493</v>
      </c>
      <c r="AX22" s="2">
        <f t="shared" si="107"/>
        <v>1036.0483320395088</v>
      </c>
      <c r="AY22" s="2">
        <f t="shared" si="107"/>
        <v>1067.1297820006939</v>
      </c>
      <c r="AZ22" s="2">
        <f t="shared" si="107"/>
        <v>1099.1436754607148</v>
      </c>
      <c r="BA22" s="2">
        <f t="shared" si="107"/>
        <v>1132.1179857245361</v>
      </c>
      <c r="BB22" s="2">
        <f t="shared" si="107"/>
        <v>1166.0815252962725</v>
      </c>
      <c r="BC22" s="2">
        <f t="shared" si="107"/>
        <v>1201.0639710551607</v>
      </c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EF22" s="1" t="s">
        <v>25</v>
      </c>
    </row>
    <row r="23" spans="2:136" x14ac:dyDescent="0.25">
      <c r="B23" s="1" t="s">
        <v>236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>
        <f>+AI22*AI30</f>
        <v>52</v>
      </c>
      <c r="AJ23" s="2">
        <f>+AJ22*AJ30</f>
        <v>109.18000000000002</v>
      </c>
      <c r="AK23" s="2">
        <f t="shared" ref="AK23:BC23" si="108">+AK22*AK30</f>
        <v>141.09969999999998</v>
      </c>
      <c r="AL23" s="2">
        <f t="shared" si="108"/>
        <v>145.33269100000001</v>
      </c>
      <c r="AM23" s="2">
        <f t="shared" si="108"/>
        <v>149.69267173000003</v>
      </c>
      <c r="AN23" s="2">
        <f t="shared" si="108"/>
        <v>154.18345188190003</v>
      </c>
      <c r="AO23" s="2">
        <f t="shared" si="108"/>
        <v>158.80895543835703</v>
      </c>
      <c r="AP23" s="2">
        <f t="shared" si="108"/>
        <v>163.57322410150775</v>
      </c>
      <c r="AQ23" s="2">
        <f t="shared" si="108"/>
        <v>168.48042082455299</v>
      </c>
      <c r="AR23" s="2">
        <f t="shared" si="108"/>
        <v>173.53483344928958</v>
      </c>
      <c r="AS23" s="2">
        <f t="shared" si="108"/>
        <v>178.74087845276824</v>
      </c>
      <c r="AT23" s="2">
        <f t="shared" si="108"/>
        <v>184.10310480635133</v>
      </c>
      <c r="AU23" s="2">
        <f t="shared" si="108"/>
        <v>189.62619795054187</v>
      </c>
      <c r="AV23" s="2">
        <f t="shared" si="108"/>
        <v>195.31498388905814</v>
      </c>
      <c r="AW23" s="2">
        <f t="shared" si="108"/>
        <v>201.17443340572987</v>
      </c>
      <c r="AX23" s="2">
        <f t="shared" si="108"/>
        <v>207.20966640790175</v>
      </c>
      <c r="AY23" s="2">
        <f t="shared" si="108"/>
        <v>213.4259564001388</v>
      </c>
      <c r="AZ23" s="2">
        <f t="shared" si="108"/>
        <v>219.82873509214298</v>
      </c>
      <c r="BA23" s="2">
        <f t="shared" si="108"/>
        <v>226.42359714490723</v>
      </c>
      <c r="BB23" s="2">
        <f t="shared" si="108"/>
        <v>233.21630505925452</v>
      </c>
      <c r="BC23" s="2">
        <f t="shared" si="108"/>
        <v>240.21279421103213</v>
      </c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EF23" s="1" t="s">
        <v>25</v>
      </c>
    </row>
    <row r="24" spans="2:136" x14ac:dyDescent="0.25">
      <c r="B24" s="1" t="s">
        <v>246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>
        <f>+AI22-AI23</f>
        <v>208</v>
      </c>
      <c r="AJ24" s="2">
        <f>+AJ22-AJ23</f>
        <v>436.72000000000008</v>
      </c>
      <c r="AK24" s="2">
        <f t="shared" ref="AK24:BC24" si="109">+AK22-AK23</f>
        <v>564.39879999999994</v>
      </c>
      <c r="AL24" s="2">
        <f t="shared" si="109"/>
        <v>581.33076400000004</v>
      </c>
      <c r="AM24" s="2">
        <f t="shared" si="109"/>
        <v>598.77068692000012</v>
      </c>
      <c r="AN24" s="2">
        <f t="shared" si="109"/>
        <v>616.73380752759999</v>
      </c>
      <c r="AO24" s="2">
        <f t="shared" si="109"/>
        <v>635.23582175342813</v>
      </c>
      <c r="AP24" s="2">
        <f t="shared" si="109"/>
        <v>654.29289640603088</v>
      </c>
      <c r="AQ24" s="2">
        <f t="shared" si="109"/>
        <v>673.92168329821186</v>
      </c>
      <c r="AR24" s="2">
        <f t="shared" si="109"/>
        <v>694.13933379715832</v>
      </c>
      <c r="AS24" s="2">
        <f t="shared" si="109"/>
        <v>714.96351381107297</v>
      </c>
      <c r="AT24" s="2">
        <f t="shared" si="109"/>
        <v>736.41241922540519</v>
      </c>
      <c r="AU24" s="2">
        <f t="shared" si="109"/>
        <v>758.50479180216746</v>
      </c>
      <c r="AV24" s="2">
        <f t="shared" si="109"/>
        <v>781.25993555623256</v>
      </c>
      <c r="AW24" s="2">
        <f t="shared" si="109"/>
        <v>804.69773362291949</v>
      </c>
      <c r="AX24" s="2">
        <f t="shared" si="109"/>
        <v>828.838665631607</v>
      </c>
      <c r="AY24" s="2">
        <f t="shared" si="109"/>
        <v>853.70382560055509</v>
      </c>
      <c r="AZ24" s="2">
        <f t="shared" si="109"/>
        <v>879.3149403685718</v>
      </c>
      <c r="BA24" s="2">
        <f t="shared" si="109"/>
        <v>905.69438857962882</v>
      </c>
      <c r="BB24" s="2">
        <f t="shared" si="109"/>
        <v>932.86522023701798</v>
      </c>
      <c r="BC24" s="2">
        <f t="shared" si="109"/>
        <v>960.85117684412853</v>
      </c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EF24" s="1" t="s">
        <v>25</v>
      </c>
    </row>
    <row r="25" spans="2:136" x14ac:dyDescent="0.25">
      <c r="B25" s="1" t="s">
        <v>247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5">
        <f>+AI24/AI26</f>
        <v>1.0421751550313205</v>
      </c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EF25" s="1" t="s">
        <v>25</v>
      </c>
    </row>
    <row r="26" spans="2:136" x14ac:dyDescent="0.25">
      <c r="B26" s="1" t="s">
        <v>248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>
        <v>179.58257399999999</v>
      </c>
      <c r="AH26" s="2">
        <f>+AG26+10</f>
        <v>189.58257399999999</v>
      </c>
      <c r="AI26" s="2">
        <f>+AH26+10</f>
        <v>199.58257399999999</v>
      </c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EF26" s="1" t="s">
        <v>25</v>
      </c>
    </row>
    <row r="27" spans="2:136" x14ac:dyDescent="0.2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2:136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EF28" s="1" t="s">
        <v>25</v>
      </c>
    </row>
    <row r="29" spans="2:136" s="24" customFormat="1" x14ac:dyDescent="0.25">
      <c r="B29" s="24" t="s">
        <v>233</v>
      </c>
      <c r="AJ29" s="24">
        <f t="shared" ref="AJ29:BC29" si="110">+AJ15/AI15-1</f>
        <v>1.06</v>
      </c>
      <c r="AK29" s="24">
        <f t="shared" si="110"/>
        <v>0.28749999999999987</v>
      </c>
      <c r="AL29" s="24">
        <f t="shared" si="110"/>
        <v>3.0000000000000027E-2</v>
      </c>
      <c r="AM29" s="24">
        <f t="shared" si="110"/>
        <v>3.0000000000000027E-2</v>
      </c>
      <c r="AN29" s="24">
        <f t="shared" si="110"/>
        <v>3.0000000000000027E-2</v>
      </c>
      <c r="AO29" s="24">
        <f t="shared" si="110"/>
        <v>3.0000000000000027E-2</v>
      </c>
      <c r="AP29" s="24">
        <f t="shared" si="110"/>
        <v>3.0000000000000027E-2</v>
      </c>
      <c r="AQ29" s="24">
        <f t="shared" si="110"/>
        <v>3.0000000000000027E-2</v>
      </c>
      <c r="AR29" s="24">
        <f t="shared" si="110"/>
        <v>3.0000000000000027E-2</v>
      </c>
      <c r="AS29" s="24">
        <f t="shared" si="110"/>
        <v>3.0000000000000027E-2</v>
      </c>
      <c r="AT29" s="24">
        <f t="shared" si="110"/>
        <v>3.0000000000000027E-2</v>
      </c>
      <c r="AU29" s="24">
        <f t="shared" si="110"/>
        <v>3.0000000000000027E-2</v>
      </c>
      <c r="AV29" s="24">
        <f t="shared" si="110"/>
        <v>3.0000000000000027E-2</v>
      </c>
      <c r="AW29" s="24">
        <f t="shared" si="110"/>
        <v>3.0000000000000027E-2</v>
      </c>
      <c r="AX29" s="24">
        <f t="shared" si="110"/>
        <v>3.0000000000000027E-2</v>
      </c>
      <c r="AY29" s="24">
        <f t="shared" si="110"/>
        <v>3.0000000000000027E-2</v>
      </c>
      <c r="AZ29" s="24">
        <f t="shared" si="110"/>
        <v>3.0000000000000027E-2</v>
      </c>
      <c r="BA29" s="24">
        <f t="shared" si="110"/>
        <v>2.9999999999999805E-2</v>
      </c>
      <c r="BB29" s="24">
        <f t="shared" si="110"/>
        <v>3.0000000000000249E-2</v>
      </c>
      <c r="BC29" s="24">
        <f t="shared" si="110"/>
        <v>3.0000000000000027E-2</v>
      </c>
      <c r="BF29" s="24" t="s">
        <v>249</v>
      </c>
      <c r="BG29" s="24">
        <v>-0.05</v>
      </c>
      <c r="EF29" s="24" t="s">
        <v>25</v>
      </c>
    </row>
    <row r="30" spans="2:136" s="24" customFormat="1" x14ac:dyDescent="0.25">
      <c r="B30" s="24" t="s">
        <v>236</v>
      </c>
      <c r="AI30" s="24">
        <v>0.2</v>
      </c>
      <c r="AJ30" s="24">
        <v>0.2</v>
      </c>
      <c r="AK30" s="24">
        <v>0.2</v>
      </c>
      <c r="AL30" s="24">
        <v>0.2</v>
      </c>
      <c r="AM30" s="24">
        <v>0.2</v>
      </c>
      <c r="AN30" s="24">
        <v>0.2</v>
      </c>
      <c r="AO30" s="24">
        <v>0.2</v>
      </c>
      <c r="AP30" s="24">
        <v>0.2</v>
      </c>
      <c r="AQ30" s="24">
        <v>0.2</v>
      </c>
      <c r="AR30" s="24">
        <v>0.2</v>
      </c>
      <c r="AS30" s="24">
        <v>0.2</v>
      </c>
      <c r="AT30" s="24">
        <v>0.2</v>
      </c>
      <c r="AU30" s="24">
        <v>0.2</v>
      </c>
      <c r="AV30" s="24">
        <v>0.2</v>
      </c>
      <c r="AW30" s="24">
        <v>0.2</v>
      </c>
      <c r="AX30" s="24">
        <v>0.2</v>
      </c>
      <c r="AY30" s="24">
        <v>0.2</v>
      </c>
      <c r="AZ30" s="24">
        <v>0.2</v>
      </c>
      <c r="BA30" s="24">
        <v>0.2</v>
      </c>
      <c r="BB30" s="24">
        <v>0.2</v>
      </c>
      <c r="BC30" s="24">
        <v>0.2</v>
      </c>
      <c r="BF30" s="24" t="s">
        <v>250</v>
      </c>
      <c r="BG30" s="24">
        <v>0.1</v>
      </c>
      <c r="EF30" s="24" t="s">
        <v>25</v>
      </c>
    </row>
    <row r="31" spans="2:136" s="24" customFormat="1" x14ac:dyDescent="0.25">
      <c r="B31" s="24" t="s">
        <v>237</v>
      </c>
      <c r="AI31" s="24">
        <v>0.9</v>
      </c>
      <c r="AJ31" s="24">
        <v>0.9</v>
      </c>
      <c r="AK31" s="24">
        <v>0.9</v>
      </c>
      <c r="AL31" s="24">
        <v>0.9</v>
      </c>
      <c r="AM31" s="24">
        <v>0.9</v>
      </c>
      <c r="AN31" s="24">
        <v>0.9</v>
      </c>
      <c r="AO31" s="24">
        <v>0.9</v>
      </c>
      <c r="AP31" s="24">
        <v>0.9</v>
      </c>
      <c r="AQ31" s="24">
        <v>0.9</v>
      </c>
      <c r="AR31" s="24">
        <v>0.9</v>
      </c>
      <c r="AS31" s="24">
        <v>0.9</v>
      </c>
      <c r="AT31" s="24">
        <v>0.9</v>
      </c>
      <c r="AU31" s="24">
        <v>0.9</v>
      </c>
      <c r="AV31" s="24">
        <v>0.9</v>
      </c>
      <c r="AW31" s="24">
        <v>0.9</v>
      </c>
      <c r="AX31" s="24">
        <v>0.9</v>
      </c>
      <c r="AY31" s="24">
        <v>0.9</v>
      </c>
      <c r="AZ31" s="24">
        <v>0.9</v>
      </c>
      <c r="BA31" s="24">
        <v>0.9</v>
      </c>
      <c r="BB31" s="24">
        <v>0.9</v>
      </c>
      <c r="BC31" s="24">
        <v>0.9</v>
      </c>
      <c r="BF31" s="24" t="s">
        <v>251</v>
      </c>
      <c r="BG31" s="2">
        <f>+NPV(BG30,AI24:BC24)+Main!M10-Main!M11</f>
        <v>5410.2093875868832</v>
      </c>
      <c r="EF31" s="24" t="s">
        <v>25</v>
      </c>
    </row>
    <row r="32" spans="2:136" s="24" customFormat="1" x14ac:dyDescent="0.25">
      <c r="B32" s="24" t="s">
        <v>238</v>
      </c>
      <c r="AI32" s="24">
        <v>0.5</v>
      </c>
      <c r="AJ32" s="24">
        <v>0.5</v>
      </c>
      <c r="AK32" s="24">
        <v>0.5</v>
      </c>
      <c r="AL32" s="24">
        <v>0.5</v>
      </c>
      <c r="AM32" s="24">
        <v>0.5</v>
      </c>
      <c r="AN32" s="24">
        <v>0.5</v>
      </c>
      <c r="AO32" s="24">
        <v>0.5</v>
      </c>
      <c r="AP32" s="24">
        <v>0.5</v>
      </c>
      <c r="AQ32" s="24">
        <v>0.5</v>
      </c>
      <c r="AR32" s="24">
        <v>0.5</v>
      </c>
      <c r="AS32" s="24">
        <v>0.5</v>
      </c>
      <c r="AT32" s="24">
        <v>0.5</v>
      </c>
      <c r="AU32" s="24">
        <v>0.5</v>
      </c>
      <c r="AV32" s="24">
        <v>0.5</v>
      </c>
      <c r="AW32" s="24">
        <v>0.5</v>
      </c>
      <c r="AX32" s="24">
        <v>0.5</v>
      </c>
      <c r="AY32" s="24">
        <v>0.5</v>
      </c>
      <c r="AZ32" s="24">
        <v>0.5</v>
      </c>
      <c r="BA32" s="24">
        <v>0.5</v>
      </c>
      <c r="BB32" s="24">
        <v>0.5</v>
      </c>
      <c r="BC32" s="24">
        <v>0.5</v>
      </c>
      <c r="BF32" s="24" t="s">
        <v>252</v>
      </c>
      <c r="BG32" s="26">
        <f>+BG31/AH26</f>
        <v>28.537482498717857</v>
      </c>
      <c r="EF32" s="24" t="s">
        <v>25</v>
      </c>
    </row>
    <row r="33" spans="2:136" s="24" customFormat="1" x14ac:dyDescent="0.25">
      <c r="B33" s="24" t="s">
        <v>239</v>
      </c>
      <c r="AI33" s="24">
        <f>+AI24/AI15</f>
        <v>0.38518518518518519</v>
      </c>
      <c r="AJ33" s="24">
        <f t="shared" ref="AJ33:BC33" si="111">+AJ24/AJ15</f>
        <v>0.39259259259259266</v>
      </c>
      <c r="AK33" s="24">
        <f t="shared" si="111"/>
        <v>0.39407407407407408</v>
      </c>
      <c r="AL33" s="24">
        <f t="shared" si="111"/>
        <v>0.39407407407407408</v>
      </c>
      <c r="AM33" s="24">
        <f t="shared" si="111"/>
        <v>0.39407407407407408</v>
      </c>
      <c r="AN33" s="24">
        <f t="shared" si="111"/>
        <v>0.39407407407407402</v>
      </c>
      <c r="AO33" s="24">
        <f t="shared" si="111"/>
        <v>0.39407407407407408</v>
      </c>
      <c r="AP33" s="24">
        <f t="shared" si="111"/>
        <v>0.39407407407407402</v>
      </c>
      <c r="AQ33" s="24">
        <f t="shared" si="111"/>
        <v>0.39407407407407402</v>
      </c>
      <c r="AR33" s="24">
        <f t="shared" si="111"/>
        <v>0.39407407407407413</v>
      </c>
      <c r="AS33" s="24">
        <f t="shared" si="111"/>
        <v>0.39407407407407408</v>
      </c>
      <c r="AT33" s="24">
        <f t="shared" si="111"/>
        <v>0.39407407407407402</v>
      </c>
      <c r="AU33" s="24">
        <f t="shared" si="111"/>
        <v>0.39407407407407408</v>
      </c>
      <c r="AV33" s="24">
        <f t="shared" si="111"/>
        <v>0.39407407407407408</v>
      </c>
      <c r="AW33" s="24">
        <f t="shared" si="111"/>
        <v>0.39407407407407408</v>
      </c>
      <c r="AX33" s="24">
        <f t="shared" si="111"/>
        <v>0.39407407407407408</v>
      </c>
      <c r="AY33" s="24">
        <f t="shared" si="111"/>
        <v>0.39407407407407402</v>
      </c>
      <c r="AZ33" s="24">
        <f t="shared" si="111"/>
        <v>0.39407407407407402</v>
      </c>
      <c r="BA33" s="24">
        <f t="shared" si="111"/>
        <v>0.39407407407407402</v>
      </c>
      <c r="BB33" s="24">
        <f t="shared" si="111"/>
        <v>0.39407407407407408</v>
      </c>
      <c r="BC33" s="24">
        <f t="shared" si="111"/>
        <v>0.39407407407407402</v>
      </c>
      <c r="EF33" s="24" t="s">
        <v>25</v>
      </c>
    </row>
    <row r="34" spans="2:136" x14ac:dyDescent="0.2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EF34" s="1" t="s">
        <v>25</v>
      </c>
    </row>
    <row r="35" spans="2:136" x14ac:dyDescent="0.2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EF35" s="1" t="s">
        <v>25</v>
      </c>
    </row>
    <row r="36" spans="2:136" x14ac:dyDescent="0.2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EF36" s="1" t="s">
        <v>25</v>
      </c>
    </row>
    <row r="37" spans="2:136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EF37" s="1" t="s">
        <v>25</v>
      </c>
    </row>
    <row r="38" spans="2:136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EF38" s="1" t="s">
        <v>25</v>
      </c>
    </row>
    <row r="39" spans="2:136" x14ac:dyDescent="0.2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EF39" s="1" t="s">
        <v>25</v>
      </c>
    </row>
    <row r="40" spans="2:136" x14ac:dyDescent="0.2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EF40" s="1" t="s">
        <v>25</v>
      </c>
    </row>
    <row r="41" spans="2:136" x14ac:dyDescent="0.2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EF41" s="1" t="s">
        <v>25</v>
      </c>
    </row>
    <row r="42" spans="2:136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EF42" s="1" t="s">
        <v>25</v>
      </c>
    </row>
    <row r="43" spans="2:136" x14ac:dyDescent="0.2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EF43" s="1" t="s">
        <v>25</v>
      </c>
    </row>
    <row r="44" spans="2:136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EF44" s="1" t="s">
        <v>25</v>
      </c>
    </row>
    <row r="45" spans="2:136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EF45" s="1" t="s">
        <v>25</v>
      </c>
    </row>
    <row r="46" spans="2:136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EF46" s="1" t="s">
        <v>25</v>
      </c>
    </row>
    <row r="47" spans="2:136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EF47" s="1" t="s">
        <v>25</v>
      </c>
    </row>
    <row r="48" spans="2:136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EF48" s="1" t="s">
        <v>25</v>
      </c>
    </row>
    <row r="49" spans="3:136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EF49" s="1" t="s">
        <v>25</v>
      </c>
    </row>
    <row r="50" spans="3:136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EF50" s="1" t="s">
        <v>25</v>
      </c>
    </row>
    <row r="51" spans="3:136" x14ac:dyDescent="0.2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EF51" s="1" t="s">
        <v>25</v>
      </c>
    </row>
    <row r="52" spans="3:136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EF52" s="1" t="s">
        <v>25</v>
      </c>
    </row>
    <row r="53" spans="3:136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EF53" s="1" t="s">
        <v>25</v>
      </c>
    </row>
    <row r="54" spans="3:136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EF54" s="1" t="s">
        <v>25</v>
      </c>
    </row>
    <row r="55" spans="3:136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EF55" s="1" t="s">
        <v>25</v>
      </c>
    </row>
    <row r="56" spans="3:136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EF56" s="1" t="s">
        <v>25</v>
      </c>
    </row>
    <row r="57" spans="3:136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EF57" s="1" t="s">
        <v>25</v>
      </c>
    </row>
    <row r="58" spans="3:136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EF58" s="1" t="s">
        <v>25</v>
      </c>
    </row>
    <row r="59" spans="3:136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EF59" s="1" t="s">
        <v>25</v>
      </c>
    </row>
    <row r="60" spans="3:136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EF60" s="1" t="s">
        <v>25</v>
      </c>
    </row>
    <row r="61" spans="3:136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EF61" s="1" t="s">
        <v>25</v>
      </c>
    </row>
    <row r="62" spans="3:136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EF62" s="1" t="s">
        <v>25</v>
      </c>
    </row>
    <row r="63" spans="3:136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EF63" s="1" t="s">
        <v>25</v>
      </c>
    </row>
    <row r="64" spans="3:136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EF64" s="1" t="s">
        <v>25</v>
      </c>
    </row>
    <row r="65" spans="3:136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EF65" s="1" t="s">
        <v>25</v>
      </c>
    </row>
    <row r="66" spans="3:136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EF66" s="1" t="s">
        <v>25</v>
      </c>
    </row>
    <row r="67" spans="3:136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EF67" s="1" t="s">
        <v>25</v>
      </c>
    </row>
    <row r="68" spans="3:136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EF68" s="1" t="s">
        <v>25</v>
      </c>
    </row>
    <row r="69" spans="3:136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EF69" s="1" t="s">
        <v>25</v>
      </c>
    </row>
    <row r="70" spans="3:136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EF70" s="1" t="s">
        <v>25</v>
      </c>
    </row>
    <row r="71" spans="3:136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EF71" s="1" t="s">
        <v>25</v>
      </c>
    </row>
    <row r="72" spans="3:136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EF72" s="1" t="s">
        <v>25</v>
      </c>
    </row>
    <row r="73" spans="3:136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EF73" s="1" t="s">
        <v>25</v>
      </c>
    </row>
    <row r="74" spans="3:136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EF74" s="1" t="s">
        <v>25</v>
      </c>
    </row>
    <row r="75" spans="3:136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EF75" s="1" t="s">
        <v>25</v>
      </c>
    </row>
    <row r="76" spans="3:136" x14ac:dyDescent="0.2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EF76" s="1" t="s">
        <v>25</v>
      </c>
    </row>
    <row r="77" spans="3:136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EF77" s="1" t="s">
        <v>25</v>
      </c>
    </row>
    <row r="78" spans="3:136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EF78" s="1" t="s">
        <v>25</v>
      </c>
    </row>
    <row r="79" spans="3:136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EF79" s="1" t="s">
        <v>25</v>
      </c>
    </row>
    <row r="80" spans="3:136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EF80" s="1" t="s">
        <v>25</v>
      </c>
    </row>
    <row r="81" spans="3:136" x14ac:dyDescent="0.2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EF81" s="1" t="s">
        <v>25</v>
      </c>
    </row>
    <row r="82" spans="3:136" x14ac:dyDescent="0.2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EF82" s="1" t="s">
        <v>25</v>
      </c>
    </row>
    <row r="83" spans="3:136" x14ac:dyDescent="0.2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EF83" s="1" t="s">
        <v>25</v>
      </c>
    </row>
    <row r="84" spans="3:136" x14ac:dyDescent="0.2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EF84" s="1" t="s">
        <v>25</v>
      </c>
    </row>
    <row r="85" spans="3:136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EF85" s="1" t="s">
        <v>25</v>
      </c>
    </row>
    <row r="86" spans="3:136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EF86" s="1" t="s">
        <v>25</v>
      </c>
    </row>
    <row r="87" spans="3:136" x14ac:dyDescent="0.2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EF87" s="1" t="s">
        <v>25</v>
      </c>
    </row>
    <row r="88" spans="3:136" x14ac:dyDescent="0.2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EF88" s="1" t="s">
        <v>25</v>
      </c>
    </row>
    <row r="89" spans="3:136" x14ac:dyDescent="0.2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EF89" s="1" t="s">
        <v>25</v>
      </c>
    </row>
    <row r="90" spans="3:136" x14ac:dyDescent="0.2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EF90" s="1" t="s">
        <v>25</v>
      </c>
    </row>
    <row r="91" spans="3:136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EF91" s="1" t="s">
        <v>25</v>
      </c>
    </row>
    <row r="92" spans="3:136" x14ac:dyDescent="0.2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EF92" s="1" t="s">
        <v>25</v>
      </c>
    </row>
    <row r="93" spans="3:136" x14ac:dyDescent="0.2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EF93" s="1" t="s">
        <v>25</v>
      </c>
    </row>
    <row r="94" spans="3:136" x14ac:dyDescent="0.2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EF94" s="1" t="s">
        <v>25</v>
      </c>
    </row>
    <row r="95" spans="3:136" x14ac:dyDescent="0.2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EF95" s="1" t="s">
        <v>25</v>
      </c>
    </row>
    <row r="96" spans="3:136" x14ac:dyDescent="0.2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EF96" s="1" t="s">
        <v>25</v>
      </c>
    </row>
    <row r="97" spans="3:136" x14ac:dyDescent="0.2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EF97" s="1" t="s">
        <v>25</v>
      </c>
    </row>
    <row r="98" spans="3:136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EF98" s="1" t="s">
        <v>25</v>
      </c>
    </row>
    <row r="99" spans="3:136" x14ac:dyDescent="0.2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EF99" s="1" t="s">
        <v>25</v>
      </c>
    </row>
    <row r="100" spans="3:136" x14ac:dyDescent="0.25">
      <c r="EF100" s="1" t="s">
        <v>25</v>
      </c>
    </row>
    <row r="101" spans="3:136" x14ac:dyDescent="0.25">
      <c r="EF101" s="1" t="s">
        <v>25</v>
      </c>
    </row>
    <row r="102" spans="3:136" x14ac:dyDescent="0.25">
      <c r="EF102" s="1" t="s">
        <v>25</v>
      </c>
    </row>
    <row r="103" spans="3:136" x14ac:dyDescent="0.25">
      <c r="EF103" s="1" t="s">
        <v>25</v>
      </c>
    </row>
    <row r="104" spans="3:136" x14ac:dyDescent="0.25">
      <c r="EF104" s="1" t="s">
        <v>25</v>
      </c>
    </row>
    <row r="105" spans="3:136" x14ac:dyDescent="0.25">
      <c r="EF105" s="1" t="s">
        <v>25</v>
      </c>
    </row>
    <row r="106" spans="3:136" x14ac:dyDescent="0.25">
      <c r="EF106" s="1" t="s">
        <v>25</v>
      </c>
    </row>
    <row r="107" spans="3:136" x14ac:dyDescent="0.25">
      <c r="EF107" s="1" t="s">
        <v>25</v>
      </c>
    </row>
  </sheetData>
  <phoneticPr fontId="2" type="noConversion"/>
  <hyperlinks>
    <hyperlink ref="A1" location="Main!A1" display="main" xr:uid="{714A70A2-068A-4627-B448-9D32FA37C071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0995-4C43-4EAE-9EE5-91C5063F8B5D}">
  <dimension ref="A1:K126"/>
  <sheetViews>
    <sheetView showGridLines="0" topLeftCell="A102" zoomScale="130" zoomScaleNormal="130" workbookViewId="0">
      <selection activeCell="C121" sqref="C121"/>
    </sheetView>
  </sheetViews>
  <sheetFormatPr defaultRowHeight="13.2" x14ac:dyDescent="0.25"/>
  <cols>
    <col min="1" max="1" width="4.77734375" style="1" customWidth="1"/>
    <col min="2" max="16384" width="8.88671875" style="1"/>
  </cols>
  <sheetData>
    <row r="1" spans="1:11" x14ac:dyDescent="0.25">
      <c r="A1" s="3" t="s">
        <v>15</v>
      </c>
    </row>
    <row r="2" spans="1:11" x14ac:dyDescent="0.25">
      <c r="B2" s="1" t="s">
        <v>28</v>
      </c>
      <c r="C2" s="1" t="s">
        <v>34</v>
      </c>
    </row>
    <row r="3" spans="1:11" x14ac:dyDescent="0.25">
      <c r="B3" s="1" t="s">
        <v>53</v>
      </c>
      <c r="C3" s="1" t="s">
        <v>54</v>
      </c>
    </row>
    <row r="4" spans="1:11" x14ac:dyDescent="0.25">
      <c r="B4" s="1" t="s">
        <v>29</v>
      </c>
      <c r="C4" s="1" t="s">
        <v>59</v>
      </c>
      <c r="K4" s="1" t="s">
        <v>309</v>
      </c>
    </row>
    <row r="5" spans="1:11" x14ac:dyDescent="0.25">
      <c r="C5" s="1" t="s">
        <v>60</v>
      </c>
    </row>
    <row r="6" spans="1:11" x14ac:dyDescent="0.25">
      <c r="C6" s="1" t="s">
        <v>61</v>
      </c>
    </row>
    <row r="9" spans="1:11" x14ac:dyDescent="0.25">
      <c r="B9" s="1" t="s">
        <v>31</v>
      </c>
      <c r="C9" s="1" t="s">
        <v>55</v>
      </c>
    </row>
    <row r="10" spans="1:11" x14ac:dyDescent="0.25">
      <c r="C10" s="1" t="s">
        <v>56</v>
      </c>
    </row>
    <row r="11" spans="1:11" x14ac:dyDescent="0.25">
      <c r="C11" s="1" t="s">
        <v>57</v>
      </c>
    </row>
    <row r="12" spans="1:11" x14ac:dyDescent="0.25">
      <c r="C12" s="1" t="s">
        <v>58</v>
      </c>
    </row>
    <row r="16" spans="1:11" x14ac:dyDescent="0.25">
      <c r="B16" s="1" t="s">
        <v>96</v>
      </c>
      <c r="C16" s="1" t="s">
        <v>97</v>
      </c>
    </row>
    <row r="19" spans="2:3" x14ac:dyDescent="0.25">
      <c r="B19" s="1" t="s">
        <v>195</v>
      </c>
    </row>
    <row r="21" spans="2:3" x14ac:dyDescent="0.25">
      <c r="B21" s="1">
        <v>1</v>
      </c>
      <c r="C21" s="1" t="s">
        <v>196</v>
      </c>
    </row>
    <row r="22" spans="2:3" x14ac:dyDescent="0.25">
      <c r="C22" s="1" t="s">
        <v>197</v>
      </c>
    </row>
    <row r="23" spans="2:3" x14ac:dyDescent="0.25">
      <c r="C23" s="1" t="s">
        <v>198</v>
      </c>
    </row>
    <row r="25" spans="2:3" x14ac:dyDescent="0.25">
      <c r="B25" s="1">
        <v>2</v>
      </c>
      <c r="C25" s="1" t="s">
        <v>199</v>
      </c>
    </row>
    <row r="26" spans="2:3" x14ac:dyDescent="0.25">
      <c r="C26" s="1" t="s">
        <v>200</v>
      </c>
    </row>
    <row r="27" spans="2:3" x14ac:dyDescent="0.25">
      <c r="C27" s="1" t="s">
        <v>201</v>
      </c>
    </row>
    <row r="29" spans="2:3" x14ac:dyDescent="0.25">
      <c r="B29" s="1">
        <v>3</v>
      </c>
      <c r="C29" s="1" t="s">
        <v>202</v>
      </c>
    </row>
    <row r="30" spans="2:3" x14ac:dyDescent="0.25">
      <c r="C30" s="1" t="s">
        <v>203</v>
      </c>
    </row>
    <row r="31" spans="2:3" x14ac:dyDescent="0.25">
      <c r="C31" s="1" t="s">
        <v>204</v>
      </c>
    </row>
    <row r="32" spans="2:3" x14ac:dyDescent="0.25">
      <c r="C32" s="1" t="s">
        <v>205</v>
      </c>
    </row>
    <row r="34" spans="2:3" x14ac:dyDescent="0.25">
      <c r="B34" s="1">
        <v>4</v>
      </c>
      <c r="C34" s="1" t="s">
        <v>206</v>
      </c>
    </row>
    <row r="35" spans="2:3" x14ac:dyDescent="0.25">
      <c r="C35" s="1" t="s">
        <v>207</v>
      </c>
    </row>
    <row r="36" spans="2:3" x14ac:dyDescent="0.25">
      <c r="C36" s="1" t="s">
        <v>208</v>
      </c>
    </row>
    <row r="37" spans="2:3" x14ac:dyDescent="0.25">
      <c r="C37" s="1" t="s">
        <v>209</v>
      </c>
    </row>
    <row r="38" spans="2:3" x14ac:dyDescent="0.25">
      <c r="C38" s="1" t="s">
        <v>210</v>
      </c>
    </row>
    <row r="39" spans="2:3" x14ac:dyDescent="0.25">
      <c r="C39" s="1" t="s">
        <v>211</v>
      </c>
    </row>
    <row r="41" spans="2:3" x14ac:dyDescent="0.25">
      <c r="B41" s="1">
        <v>5</v>
      </c>
      <c r="C41" s="1" t="s">
        <v>212</v>
      </c>
    </row>
    <row r="42" spans="2:3" x14ac:dyDescent="0.25">
      <c r="C42" s="1" t="s">
        <v>213</v>
      </c>
    </row>
    <row r="43" spans="2:3" x14ac:dyDescent="0.25">
      <c r="C43" s="1" t="s">
        <v>214</v>
      </c>
    </row>
    <row r="44" spans="2:3" x14ac:dyDescent="0.25">
      <c r="C44" s="1" t="s">
        <v>215</v>
      </c>
    </row>
    <row r="45" spans="2:3" x14ac:dyDescent="0.25">
      <c r="C45" s="1" t="s">
        <v>216</v>
      </c>
    </row>
    <row r="47" spans="2:3" x14ac:dyDescent="0.25">
      <c r="B47" s="1">
        <v>6</v>
      </c>
      <c r="C47" s="1" t="s">
        <v>217</v>
      </c>
    </row>
    <row r="48" spans="2:3" x14ac:dyDescent="0.25">
      <c r="C48" s="1" t="s">
        <v>218</v>
      </c>
    </row>
    <row r="49" spans="2:6" x14ac:dyDescent="0.25">
      <c r="C49" s="1" t="s">
        <v>219</v>
      </c>
    </row>
    <row r="50" spans="2:6" x14ac:dyDescent="0.25">
      <c r="C50" s="1" t="s">
        <v>220</v>
      </c>
    </row>
    <row r="52" spans="2:6" x14ac:dyDescent="0.25">
      <c r="B52" s="1" t="s">
        <v>221</v>
      </c>
      <c r="C52" s="1" t="s">
        <v>222</v>
      </c>
    </row>
    <row r="53" spans="2:6" x14ac:dyDescent="0.25">
      <c r="C53" s="1" t="s">
        <v>223</v>
      </c>
      <c r="F53" s="1" t="s">
        <v>224</v>
      </c>
    </row>
    <row r="54" spans="2:6" x14ac:dyDescent="0.25">
      <c r="C54" s="1" t="s">
        <v>225</v>
      </c>
      <c r="F54" s="1" t="s">
        <v>226</v>
      </c>
    </row>
    <row r="55" spans="2:6" x14ac:dyDescent="0.25">
      <c r="C55" s="1" t="s">
        <v>227</v>
      </c>
      <c r="F55" s="1" t="s">
        <v>228</v>
      </c>
    </row>
    <row r="58" spans="2:6" x14ac:dyDescent="0.25">
      <c r="B58" s="1" t="s">
        <v>229</v>
      </c>
      <c r="C58" s="1" t="s">
        <v>230</v>
      </c>
    </row>
    <row r="61" spans="2:6" x14ac:dyDescent="0.25">
      <c r="B61" s="1" t="s">
        <v>62</v>
      </c>
    </row>
    <row r="63" spans="2:6" x14ac:dyDescent="0.25">
      <c r="C63" s="15" t="s">
        <v>65</v>
      </c>
    </row>
    <row r="64" spans="2:6" x14ac:dyDescent="0.25">
      <c r="C64" s="1" t="s">
        <v>63</v>
      </c>
    </row>
    <row r="65" spans="3:3" x14ac:dyDescent="0.25">
      <c r="C65" s="1" t="s">
        <v>95</v>
      </c>
    </row>
    <row r="68" spans="3:3" x14ac:dyDescent="0.25">
      <c r="C68" s="1" t="s">
        <v>313</v>
      </c>
    </row>
    <row r="69" spans="3:3" x14ac:dyDescent="0.25">
      <c r="C69" s="1" t="s">
        <v>314</v>
      </c>
    </row>
    <row r="70" spans="3:3" x14ac:dyDescent="0.25">
      <c r="C70" s="1" t="s">
        <v>315</v>
      </c>
    </row>
    <row r="71" spans="3:3" x14ac:dyDescent="0.25">
      <c r="C71" s="1" t="s">
        <v>316</v>
      </c>
    </row>
    <row r="73" spans="3:3" x14ac:dyDescent="0.25">
      <c r="C73" s="1" t="s">
        <v>317</v>
      </c>
    </row>
    <row r="74" spans="3:3" x14ac:dyDescent="0.25">
      <c r="C74" s="1" t="s">
        <v>318</v>
      </c>
    </row>
    <row r="75" spans="3:3" x14ac:dyDescent="0.25">
      <c r="C75" s="1" t="s">
        <v>319</v>
      </c>
    </row>
    <row r="77" spans="3:3" x14ac:dyDescent="0.25">
      <c r="C77" s="1" t="s">
        <v>320</v>
      </c>
    </row>
    <row r="78" spans="3:3" x14ac:dyDescent="0.25">
      <c r="C78" s="1" t="s">
        <v>322</v>
      </c>
    </row>
    <row r="79" spans="3:3" x14ac:dyDescent="0.25">
      <c r="C79" s="1" t="s">
        <v>323</v>
      </c>
    </row>
    <row r="80" spans="3:3" x14ac:dyDescent="0.25">
      <c r="C80" s="1" t="s">
        <v>324</v>
      </c>
    </row>
    <row r="81" spans="3:3" x14ac:dyDescent="0.25">
      <c r="C81" s="1" t="s">
        <v>325</v>
      </c>
    </row>
    <row r="82" spans="3:3" x14ac:dyDescent="0.25">
      <c r="C82" s="1" t="s">
        <v>326</v>
      </c>
    </row>
    <row r="84" spans="3:3" x14ac:dyDescent="0.25">
      <c r="C84" s="1" t="s">
        <v>321</v>
      </c>
    </row>
    <row r="85" spans="3:3" x14ac:dyDescent="0.25">
      <c r="C85" s="1" t="s">
        <v>327</v>
      </c>
    </row>
    <row r="86" spans="3:3" x14ac:dyDescent="0.25">
      <c r="C86" s="1" t="s">
        <v>328</v>
      </c>
    </row>
    <row r="87" spans="3:3" x14ac:dyDescent="0.25">
      <c r="C87" s="1" t="s">
        <v>329</v>
      </c>
    </row>
    <row r="88" spans="3:3" x14ac:dyDescent="0.25">
      <c r="C88" s="1" t="s">
        <v>330</v>
      </c>
    </row>
    <row r="89" spans="3:3" x14ac:dyDescent="0.25">
      <c r="C89" s="1" t="s">
        <v>331</v>
      </c>
    </row>
    <row r="90" spans="3:3" x14ac:dyDescent="0.25">
      <c r="C90" s="1" t="s">
        <v>332</v>
      </c>
    </row>
    <row r="91" spans="3:3" x14ac:dyDescent="0.25">
      <c r="C91" s="1" t="s">
        <v>333</v>
      </c>
    </row>
    <row r="92" spans="3:3" x14ac:dyDescent="0.25">
      <c r="C92" s="1" t="s">
        <v>334</v>
      </c>
    </row>
    <row r="93" spans="3:3" x14ac:dyDescent="0.25">
      <c r="C93" s="1" t="s">
        <v>335</v>
      </c>
    </row>
    <row r="94" spans="3:3" x14ac:dyDescent="0.25">
      <c r="C94" s="1" t="s">
        <v>336</v>
      </c>
    </row>
    <row r="98" spans="3:3" x14ac:dyDescent="0.25">
      <c r="C98" s="1" t="s">
        <v>98</v>
      </c>
    </row>
    <row r="99" spans="3:3" x14ac:dyDescent="0.25">
      <c r="C99" s="1" t="s">
        <v>99</v>
      </c>
    </row>
    <row r="101" spans="3:3" x14ac:dyDescent="0.25">
      <c r="C101" s="1" t="s">
        <v>66</v>
      </c>
    </row>
    <row r="102" spans="3:3" x14ac:dyDescent="0.25">
      <c r="C102" s="1" t="s">
        <v>67</v>
      </c>
    </row>
    <row r="106" spans="3:3" x14ac:dyDescent="0.25">
      <c r="C106" s="1" t="s">
        <v>64</v>
      </c>
    </row>
    <row r="108" spans="3:3" x14ac:dyDescent="0.25">
      <c r="C108" s="1" t="s">
        <v>101</v>
      </c>
    </row>
    <row r="113" spans="3:3" x14ac:dyDescent="0.25">
      <c r="C113" s="15" t="s">
        <v>142</v>
      </c>
    </row>
    <row r="114" spans="3:3" x14ac:dyDescent="0.25">
      <c r="C114" s="1" t="s">
        <v>143</v>
      </c>
    </row>
    <row r="115" spans="3:3" x14ac:dyDescent="0.25">
      <c r="C115" s="1" t="s">
        <v>307</v>
      </c>
    </row>
    <row r="116" spans="3:3" x14ac:dyDescent="0.25">
      <c r="C116" s="1" t="s">
        <v>308</v>
      </c>
    </row>
    <row r="117" spans="3:3" x14ac:dyDescent="0.25">
      <c r="C117" s="1" t="s">
        <v>144</v>
      </c>
    </row>
    <row r="120" spans="3:3" x14ac:dyDescent="0.25">
      <c r="C120" s="1" t="s">
        <v>350</v>
      </c>
    </row>
    <row r="121" spans="3:3" x14ac:dyDescent="0.25">
      <c r="C121" s="1" t="s">
        <v>351</v>
      </c>
    </row>
    <row r="123" spans="3:3" x14ac:dyDescent="0.25">
      <c r="C123" s="1" t="s">
        <v>145</v>
      </c>
    </row>
    <row r="124" spans="3:3" x14ac:dyDescent="0.25">
      <c r="C124" s="1" t="s">
        <v>146</v>
      </c>
    </row>
    <row r="126" spans="3:3" x14ac:dyDescent="0.25">
      <c r="C126" s="1" t="s">
        <v>340</v>
      </c>
    </row>
  </sheetData>
  <hyperlinks>
    <hyperlink ref="A1" location="Main!A1" display="main" xr:uid="{689F7E93-A054-4A0E-921C-19701EAE723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7378-4434-4332-80C7-91930C5180DC}">
  <dimension ref="A1:C33"/>
  <sheetViews>
    <sheetView showGridLines="0" zoomScale="130" zoomScaleNormal="130" workbookViewId="0"/>
  </sheetViews>
  <sheetFormatPr defaultRowHeight="13.2" x14ac:dyDescent="0.25"/>
  <cols>
    <col min="1" max="1" width="4.77734375" style="1" customWidth="1"/>
    <col min="2" max="16384" width="8.88671875" style="1"/>
  </cols>
  <sheetData>
    <row r="1" spans="1:3" x14ac:dyDescent="0.25">
      <c r="A1" s="3" t="s">
        <v>15</v>
      </c>
    </row>
    <row r="2" spans="1:3" x14ac:dyDescent="0.25">
      <c r="B2" s="1" t="s">
        <v>28</v>
      </c>
      <c r="C2" s="1" t="s">
        <v>42</v>
      </c>
    </row>
    <row r="3" spans="1:3" x14ac:dyDescent="0.25">
      <c r="B3" s="1" t="s">
        <v>53</v>
      </c>
      <c r="C3" s="1" t="s">
        <v>73</v>
      </c>
    </row>
    <row r="4" spans="1:3" x14ac:dyDescent="0.25">
      <c r="B4" s="1" t="s">
        <v>29</v>
      </c>
      <c r="C4" s="1" t="s">
        <v>74</v>
      </c>
    </row>
    <row r="5" spans="1:3" x14ac:dyDescent="0.25">
      <c r="C5" s="1" t="s">
        <v>75</v>
      </c>
    </row>
    <row r="6" spans="1:3" x14ac:dyDescent="0.25">
      <c r="C6" s="1" t="s">
        <v>76</v>
      </c>
    </row>
    <row r="9" spans="1:3" x14ac:dyDescent="0.25">
      <c r="B9" s="1" t="s">
        <v>69</v>
      </c>
      <c r="C9" s="1" t="s">
        <v>70</v>
      </c>
    </row>
    <row r="10" spans="1:3" x14ac:dyDescent="0.25">
      <c r="B10" s="1" t="s">
        <v>31</v>
      </c>
      <c r="C10" s="1" t="s">
        <v>68</v>
      </c>
    </row>
    <row r="11" spans="1:3" x14ac:dyDescent="0.25">
      <c r="C11" s="1" t="s">
        <v>71</v>
      </c>
    </row>
    <row r="12" spans="1:3" x14ac:dyDescent="0.25">
      <c r="C12" s="1" t="s">
        <v>72</v>
      </c>
    </row>
    <row r="16" spans="1:3" x14ac:dyDescent="0.25">
      <c r="C16" s="1" t="s">
        <v>87</v>
      </c>
    </row>
    <row r="17" spans="2:3" x14ac:dyDescent="0.25">
      <c r="C17" s="18">
        <v>46113</v>
      </c>
    </row>
    <row r="20" spans="2:3" x14ac:dyDescent="0.25">
      <c r="B20" s="1" t="s">
        <v>77</v>
      </c>
    </row>
    <row r="21" spans="2:3" x14ac:dyDescent="0.25">
      <c r="C21" s="15" t="s">
        <v>78</v>
      </c>
    </row>
    <row r="22" spans="2:3" x14ac:dyDescent="0.25">
      <c r="C22" s="1" t="s">
        <v>79</v>
      </c>
    </row>
    <row r="24" spans="2:3" x14ac:dyDescent="0.25">
      <c r="C24" s="1" t="s">
        <v>86</v>
      </c>
    </row>
    <row r="28" spans="2:3" x14ac:dyDescent="0.25">
      <c r="B28" s="15" t="s">
        <v>80</v>
      </c>
    </row>
    <row r="29" spans="2:3" x14ac:dyDescent="0.25">
      <c r="B29" s="1" t="s">
        <v>81</v>
      </c>
    </row>
    <row r="30" spans="2:3" x14ac:dyDescent="0.25">
      <c r="B30" s="1" t="s">
        <v>82</v>
      </c>
    </row>
    <row r="31" spans="2:3" x14ac:dyDescent="0.25">
      <c r="B31" s="1" t="s">
        <v>83</v>
      </c>
    </row>
    <row r="32" spans="2:3" x14ac:dyDescent="0.25">
      <c r="B32" s="1" t="s">
        <v>84</v>
      </c>
    </row>
    <row r="33" spans="2:2" x14ac:dyDescent="0.25">
      <c r="B33" s="1" t="s">
        <v>85</v>
      </c>
    </row>
  </sheetData>
  <hyperlinks>
    <hyperlink ref="A1" location="Main!A1" display="main" xr:uid="{73C550C5-ABC0-43DA-BC1C-529BAFB5747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D949-A80E-4ED2-AB48-8692808C9590}">
  <dimension ref="A1:O59"/>
  <sheetViews>
    <sheetView showGridLines="0" topLeftCell="A4" zoomScale="124" zoomScaleNormal="100" workbookViewId="0">
      <selection activeCell="O16" sqref="O16"/>
    </sheetView>
  </sheetViews>
  <sheetFormatPr defaultRowHeight="13.2" x14ac:dyDescent="0.25"/>
  <cols>
    <col min="1" max="1" width="4.77734375" style="1" customWidth="1"/>
    <col min="2" max="16384" width="8.88671875" style="1"/>
  </cols>
  <sheetData>
    <row r="1" spans="1:15" x14ac:dyDescent="0.25">
      <c r="A1" s="3" t="s">
        <v>15</v>
      </c>
    </row>
    <row r="2" spans="1:15" x14ac:dyDescent="0.25">
      <c r="B2" s="1" t="s">
        <v>28</v>
      </c>
      <c r="C2" s="1" t="s">
        <v>107</v>
      </c>
      <c r="E2" s="1" t="s">
        <v>108</v>
      </c>
    </row>
    <row r="3" spans="1:15" x14ac:dyDescent="0.25">
      <c r="B3" s="1" t="s">
        <v>53</v>
      </c>
    </row>
    <row r="4" spans="1:15" x14ac:dyDescent="0.25">
      <c r="B4" s="1" t="s">
        <v>29</v>
      </c>
      <c r="C4" s="1" t="s">
        <v>74</v>
      </c>
    </row>
    <row r="9" spans="1:15" x14ac:dyDescent="0.25">
      <c r="B9" s="1" t="s">
        <v>69</v>
      </c>
      <c r="C9" s="1" t="s">
        <v>70</v>
      </c>
    </row>
    <row r="10" spans="1:15" x14ac:dyDescent="0.25">
      <c r="O10" s="20" t="s">
        <v>277</v>
      </c>
    </row>
    <row r="11" spans="1:15" x14ac:dyDescent="0.25">
      <c r="B11" s="1" t="s">
        <v>31</v>
      </c>
      <c r="C11" s="1" t="s">
        <v>109</v>
      </c>
      <c r="O11" s="1" t="s">
        <v>278</v>
      </c>
    </row>
    <row r="12" spans="1:15" x14ac:dyDescent="0.25">
      <c r="C12" s="1" t="s">
        <v>110</v>
      </c>
      <c r="O12" s="1" t="s">
        <v>279</v>
      </c>
    </row>
    <row r="13" spans="1:15" x14ac:dyDescent="0.25">
      <c r="C13" s="1" t="s">
        <v>111</v>
      </c>
      <c r="O13" s="1" t="s">
        <v>280</v>
      </c>
    </row>
    <row r="14" spans="1:15" x14ac:dyDescent="0.25">
      <c r="C14" s="1" t="s">
        <v>112</v>
      </c>
      <c r="O14" s="1" t="s">
        <v>281</v>
      </c>
    </row>
    <row r="15" spans="1:15" x14ac:dyDescent="0.25">
      <c r="C15" s="1" t="s">
        <v>113</v>
      </c>
      <c r="O15" s="1" t="s">
        <v>282</v>
      </c>
    </row>
    <row r="16" spans="1:15" x14ac:dyDescent="0.25">
      <c r="O16" s="1" t="s">
        <v>283</v>
      </c>
    </row>
    <row r="17" spans="2:15" x14ac:dyDescent="0.25">
      <c r="B17" s="1" t="s">
        <v>114</v>
      </c>
      <c r="O17" s="1" t="s">
        <v>284</v>
      </c>
    </row>
    <row r="18" spans="2:15" x14ac:dyDescent="0.25">
      <c r="B18" s="1" t="s">
        <v>115</v>
      </c>
    </row>
    <row r="19" spans="2:15" x14ac:dyDescent="0.25">
      <c r="B19" s="1" t="s">
        <v>116</v>
      </c>
      <c r="C19" s="18"/>
    </row>
    <row r="21" spans="2:15" x14ac:dyDescent="0.25">
      <c r="B21" s="1" t="s">
        <v>117</v>
      </c>
    </row>
    <row r="22" spans="2:15" x14ac:dyDescent="0.25">
      <c r="B22" s="1" t="s">
        <v>118</v>
      </c>
    </row>
    <row r="23" spans="2:15" x14ac:dyDescent="0.25">
      <c r="B23" s="1" t="s">
        <v>119</v>
      </c>
      <c r="C23" s="15"/>
    </row>
    <row r="24" spans="2:15" x14ac:dyDescent="0.25">
      <c r="B24" s="1" t="s">
        <v>120</v>
      </c>
    </row>
    <row r="26" spans="2:15" x14ac:dyDescent="0.25">
      <c r="B26" s="1" t="s">
        <v>121</v>
      </c>
    </row>
    <row r="27" spans="2:15" x14ac:dyDescent="0.25">
      <c r="B27" s="1" t="s">
        <v>122</v>
      </c>
    </row>
    <row r="28" spans="2:15" x14ac:dyDescent="0.25">
      <c r="B28" s="1" t="s">
        <v>123</v>
      </c>
    </row>
    <row r="29" spans="2:15" x14ac:dyDescent="0.25">
      <c r="B29" s="1" t="s">
        <v>124</v>
      </c>
    </row>
    <row r="30" spans="2:15" x14ac:dyDescent="0.25">
      <c r="B30" s="15"/>
    </row>
    <row r="31" spans="2:15" x14ac:dyDescent="0.25">
      <c r="B31" s="1" t="s">
        <v>125</v>
      </c>
    </row>
    <row r="32" spans="2:15" x14ac:dyDescent="0.25">
      <c r="B32" s="1" t="s">
        <v>126</v>
      </c>
    </row>
    <row r="33" spans="2:3" x14ac:dyDescent="0.25">
      <c r="B33" s="1" t="s">
        <v>127</v>
      </c>
    </row>
    <row r="38" spans="2:3" x14ac:dyDescent="0.25">
      <c r="B38" s="1" t="s">
        <v>77</v>
      </c>
    </row>
    <row r="41" spans="2:3" x14ac:dyDescent="0.25">
      <c r="C41" s="15" t="s">
        <v>128</v>
      </c>
    </row>
    <row r="42" spans="2:3" x14ac:dyDescent="0.25">
      <c r="C42" s="1" t="s">
        <v>131</v>
      </c>
    </row>
    <row r="43" spans="2:3" x14ac:dyDescent="0.25">
      <c r="C43" s="1" t="s">
        <v>132</v>
      </c>
    </row>
    <row r="44" spans="2:3" x14ac:dyDescent="0.25">
      <c r="C44" s="1" t="s">
        <v>133</v>
      </c>
    </row>
    <row r="46" spans="2:3" x14ac:dyDescent="0.25">
      <c r="B46" s="1" t="s">
        <v>134</v>
      </c>
    </row>
    <row r="47" spans="2:3" x14ac:dyDescent="0.25">
      <c r="B47" s="1" t="s">
        <v>135</v>
      </c>
    </row>
    <row r="48" spans="2:3" x14ac:dyDescent="0.25">
      <c r="B48" s="1" t="s">
        <v>136</v>
      </c>
    </row>
    <row r="49" spans="2:3" x14ac:dyDescent="0.25">
      <c r="B49" s="1" t="s">
        <v>137</v>
      </c>
    </row>
    <row r="50" spans="2:3" x14ac:dyDescent="0.25">
      <c r="B50" s="1" t="s">
        <v>138</v>
      </c>
    </row>
    <row r="51" spans="2:3" x14ac:dyDescent="0.25">
      <c r="B51" s="1" t="s">
        <v>139</v>
      </c>
    </row>
    <row r="52" spans="2:3" x14ac:dyDescent="0.25">
      <c r="B52" s="1" t="s">
        <v>140</v>
      </c>
    </row>
    <row r="53" spans="2:3" x14ac:dyDescent="0.25">
      <c r="B53" s="1" t="s">
        <v>141</v>
      </c>
    </row>
    <row r="58" spans="2:3" x14ac:dyDescent="0.25">
      <c r="C58" s="15" t="s">
        <v>129</v>
      </c>
    </row>
    <row r="59" spans="2:3" x14ac:dyDescent="0.25">
      <c r="C59" s="1" t="s">
        <v>130</v>
      </c>
    </row>
  </sheetData>
  <hyperlinks>
    <hyperlink ref="A1" location="Main!A1" display="main" xr:uid="{E10BAE00-8062-49ED-9F48-2054DE5D2634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AB08-FEF7-4EBF-846C-CF38DDC65EB8}">
  <dimension ref="A1:C52"/>
  <sheetViews>
    <sheetView showGridLines="0" topLeftCell="A23" zoomScale="130" zoomScaleNormal="130" workbookViewId="0">
      <selection activeCell="C49" sqref="C49"/>
    </sheetView>
  </sheetViews>
  <sheetFormatPr defaultRowHeight="13.2" x14ac:dyDescent="0.25"/>
  <cols>
    <col min="1" max="1" width="4.77734375" style="1" customWidth="1"/>
    <col min="2" max="16384" width="8.88671875" style="1"/>
  </cols>
  <sheetData>
    <row r="1" spans="1:3" x14ac:dyDescent="0.25">
      <c r="A1" s="3" t="s">
        <v>15</v>
      </c>
    </row>
    <row r="2" spans="1:3" x14ac:dyDescent="0.25">
      <c r="B2" s="1" t="s">
        <v>28</v>
      </c>
      <c r="C2" s="1" t="s">
        <v>162</v>
      </c>
    </row>
    <row r="3" spans="1:3" x14ac:dyDescent="0.25">
      <c r="B3" s="1" t="s">
        <v>53</v>
      </c>
      <c r="C3" s="1" t="s">
        <v>163</v>
      </c>
    </row>
    <row r="4" spans="1:3" x14ac:dyDescent="0.25">
      <c r="B4" s="1" t="s">
        <v>29</v>
      </c>
      <c r="C4" s="1" t="s">
        <v>164</v>
      </c>
    </row>
    <row r="9" spans="1:3" x14ac:dyDescent="0.25">
      <c r="B9" s="1" t="s">
        <v>31</v>
      </c>
      <c r="C9" s="1" t="s">
        <v>175</v>
      </c>
    </row>
    <row r="10" spans="1:3" x14ac:dyDescent="0.25">
      <c r="C10" s="1" t="s">
        <v>176</v>
      </c>
    </row>
    <row r="11" spans="1:3" x14ac:dyDescent="0.25">
      <c r="C11" s="1" t="s">
        <v>177</v>
      </c>
    </row>
    <row r="12" spans="1:3" x14ac:dyDescent="0.25">
      <c r="C12" s="1" t="s">
        <v>178</v>
      </c>
    </row>
    <row r="13" spans="1:3" x14ac:dyDescent="0.25">
      <c r="C13" s="1" t="s">
        <v>179</v>
      </c>
    </row>
    <row r="14" spans="1:3" x14ac:dyDescent="0.25">
      <c r="C14" s="1" t="s">
        <v>180</v>
      </c>
    </row>
    <row r="15" spans="1:3" x14ac:dyDescent="0.25">
      <c r="C15" s="1" t="s">
        <v>181</v>
      </c>
    </row>
    <row r="16" spans="1:3" x14ac:dyDescent="0.25">
      <c r="C16" s="1" t="s">
        <v>182</v>
      </c>
    </row>
    <row r="18" spans="2:3" x14ac:dyDescent="0.25">
      <c r="C18" s="1" t="s">
        <v>183</v>
      </c>
    </row>
    <row r="19" spans="2:3" x14ac:dyDescent="0.25">
      <c r="C19" s="1" t="s">
        <v>184</v>
      </c>
    </row>
    <row r="20" spans="2:3" x14ac:dyDescent="0.25">
      <c r="C20" s="1" t="s">
        <v>185</v>
      </c>
    </row>
    <row r="24" spans="2:3" x14ac:dyDescent="0.25">
      <c r="B24" s="1" t="s">
        <v>172</v>
      </c>
      <c r="C24" s="1" t="s">
        <v>173</v>
      </c>
    </row>
    <row r="25" spans="2:3" x14ac:dyDescent="0.25">
      <c r="C25" s="1" t="s">
        <v>174</v>
      </c>
    </row>
    <row r="28" spans="2:3" x14ac:dyDescent="0.25">
      <c r="B28" s="1" t="s">
        <v>96</v>
      </c>
    </row>
    <row r="31" spans="2:3" x14ac:dyDescent="0.25">
      <c r="B31" s="1" t="s">
        <v>62</v>
      </c>
    </row>
    <row r="33" spans="3:3" x14ac:dyDescent="0.25">
      <c r="C33" s="15" t="s">
        <v>186</v>
      </c>
    </row>
    <row r="34" spans="3:3" x14ac:dyDescent="0.25">
      <c r="C34" s="1" t="s">
        <v>168</v>
      </c>
    </row>
    <row r="35" spans="3:3" x14ac:dyDescent="0.25">
      <c r="C35" s="1" t="s">
        <v>169</v>
      </c>
    </row>
    <row r="36" spans="3:3" x14ac:dyDescent="0.25">
      <c r="C36" s="1" t="s">
        <v>170</v>
      </c>
    </row>
    <row r="37" spans="3:3" x14ac:dyDescent="0.25">
      <c r="C37" s="1" t="s">
        <v>171</v>
      </c>
    </row>
    <row r="40" spans="3:3" x14ac:dyDescent="0.25">
      <c r="C40" s="1" t="s">
        <v>187</v>
      </c>
    </row>
    <row r="41" spans="3:3" x14ac:dyDescent="0.25">
      <c r="C41" s="1" t="s">
        <v>188</v>
      </c>
    </row>
    <row r="42" spans="3:3" x14ac:dyDescent="0.25">
      <c r="C42" s="1" t="s">
        <v>189</v>
      </c>
    </row>
    <row r="44" spans="3:3" x14ac:dyDescent="0.25">
      <c r="C44" s="1" t="s">
        <v>190</v>
      </c>
    </row>
    <row r="45" spans="3:3" x14ac:dyDescent="0.25">
      <c r="C45" s="1" t="s">
        <v>191</v>
      </c>
    </row>
    <row r="46" spans="3:3" x14ac:dyDescent="0.25">
      <c r="C46" s="1" t="s">
        <v>192</v>
      </c>
    </row>
    <row r="48" spans="3:3" x14ac:dyDescent="0.25">
      <c r="C48" s="1" t="s">
        <v>193</v>
      </c>
    </row>
    <row r="49" spans="3:3" x14ac:dyDescent="0.25">
      <c r="C49" s="1" t="s">
        <v>194</v>
      </c>
    </row>
    <row r="52" spans="3:3" x14ac:dyDescent="0.25">
      <c r="C52" s="15"/>
    </row>
  </sheetData>
  <hyperlinks>
    <hyperlink ref="A1" location="Main!A1" display="main" xr:uid="{8B3194BF-807B-4138-8BE4-8455D62DE8C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C39A-28F9-42E6-A790-2223B723048E}">
  <dimension ref="A1:K40"/>
  <sheetViews>
    <sheetView showGridLines="0" zoomScale="109" zoomScaleNormal="130" workbookViewId="0">
      <selection activeCell="I35" sqref="I35"/>
    </sheetView>
  </sheetViews>
  <sheetFormatPr defaultRowHeight="13.2" x14ac:dyDescent="0.25"/>
  <cols>
    <col min="1" max="1" width="4.77734375" style="1" customWidth="1"/>
    <col min="2" max="16384" width="8.88671875" style="1"/>
  </cols>
  <sheetData>
    <row r="1" spans="1:11" x14ac:dyDescent="0.25">
      <c r="A1" s="3" t="s">
        <v>15</v>
      </c>
    </row>
    <row r="3" spans="1:11" ht="14.4" x14ac:dyDescent="0.3">
      <c r="B3" s="1" t="s">
        <v>147</v>
      </c>
      <c r="C3" s="1" t="s">
        <v>148</v>
      </c>
      <c r="K3"/>
    </row>
    <row r="4" spans="1:11" x14ac:dyDescent="0.25">
      <c r="C4" s="1" t="s">
        <v>149</v>
      </c>
    </row>
    <row r="6" spans="1:11" x14ac:dyDescent="0.25">
      <c r="C6" s="1" t="s">
        <v>150</v>
      </c>
    </row>
    <row r="7" spans="1:11" x14ac:dyDescent="0.25">
      <c r="C7" s="1" t="s">
        <v>151</v>
      </c>
    </row>
    <row r="9" spans="1:11" x14ac:dyDescent="0.25">
      <c r="C9" s="1" t="s">
        <v>152</v>
      </c>
    </row>
    <row r="10" spans="1:11" x14ac:dyDescent="0.25">
      <c r="C10" s="1" t="s">
        <v>153</v>
      </c>
    </row>
    <row r="11" spans="1:11" x14ac:dyDescent="0.25">
      <c r="C11" s="1" t="s">
        <v>154</v>
      </c>
    </row>
    <row r="12" spans="1:11" x14ac:dyDescent="0.25">
      <c r="C12" s="1" t="s">
        <v>155</v>
      </c>
    </row>
    <row r="14" spans="1:11" x14ac:dyDescent="0.25">
      <c r="C14" s="1" t="s">
        <v>156</v>
      </c>
    </row>
    <row r="15" spans="1:11" x14ac:dyDescent="0.25">
      <c r="C15" s="1" t="s">
        <v>157</v>
      </c>
    </row>
    <row r="19" spans="2:3" x14ac:dyDescent="0.25">
      <c r="B19" s="1" t="s">
        <v>159</v>
      </c>
      <c r="C19" s="1" t="s">
        <v>158</v>
      </c>
    </row>
    <row r="21" spans="2:3" x14ac:dyDescent="0.25">
      <c r="C21" s="15"/>
    </row>
    <row r="22" spans="2:3" x14ac:dyDescent="0.25">
      <c r="B22" s="1" t="s">
        <v>160</v>
      </c>
      <c r="C22" s="1" t="s">
        <v>161</v>
      </c>
    </row>
    <row r="40" spans="3:3" x14ac:dyDescent="0.25">
      <c r="C40" s="15"/>
    </row>
  </sheetData>
  <hyperlinks>
    <hyperlink ref="A1" location="Main!A1" display="main" xr:uid="{A9CEF26A-83DD-455D-8991-89BE894F936B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9E45-FA75-4C37-8582-CA4D35CFA3FF}">
  <dimension ref="A1:K40"/>
  <sheetViews>
    <sheetView showGridLines="0" zoomScale="130" zoomScaleNormal="130" workbookViewId="0"/>
  </sheetViews>
  <sheetFormatPr defaultRowHeight="13.2" x14ac:dyDescent="0.25"/>
  <cols>
    <col min="1" max="1" width="4.77734375" style="1" customWidth="1"/>
    <col min="2" max="16384" width="8.88671875" style="1"/>
  </cols>
  <sheetData>
    <row r="1" spans="1:11" x14ac:dyDescent="0.25">
      <c r="A1" s="3" t="s">
        <v>15</v>
      </c>
    </row>
    <row r="2" spans="1:11" x14ac:dyDescent="0.25">
      <c r="B2" s="1" t="s">
        <v>253</v>
      </c>
    </row>
    <row r="3" spans="1:11" ht="14.4" x14ac:dyDescent="0.3">
      <c r="B3" s="1" t="s">
        <v>254</v>
      </c>
      <c r="K3"/>
    </row>
    <row r="4" spans="1:11" x14ac:dyDescent="0.25">
      <c r="B4" s="1" t="s">
        <v>255</v>
      </c>
    </row>
    <row r="5" spans="1:11" x14ac:dyDescent="0.25">
      <c r="B5" s="1" t="s">
        <v>256</v>
      </c>
    </row>
    <row r="7" spans="1:11" x14ac:dyDescent="0.25">
      <c r="B7" s="1" t="s">
        <v>257</v>
      </c>
    </row>
    <row r="8" spans="1:11" x14ac:dyDescent="0.25">
      <c r="B8" s="1" t="s">
        <v>258</v>
      </c>
    </row>
    <row r="10" spans="1:11" x14ac:dyDescent="0.25">
      <c r="B10" s="1" t="s">
        <v>259</v>
      </c>
    </row>
    <row r="11" spans="1:11" x14ac:dyDescent="0.25">
      <c r="B11" s="1" t="s">
        <v>260</v>
      </c>
    </row>
    <row r="13" spans="1:11" x14ac:dyDescent="0.25">
      <c r="B13" s="1" t="s">
        <v>261</v>
      </c>
    </row>
    <row r="14" spans="1:11" x14ac:dyDescent="0.25">
      <c r="B14" s="1" t="s">
        <v>262</v>
      </c>
    </row>
    <row r="19" spans="2:3" x14ac:dyDescent="0.25">
      <c r="B19" s="1" t="s">
        <v>263</v>
      </c>
    </row>
    <row r="20" spans="2:3" x14ac:dyDescent="0.25">
      <c r="B20" s="1" t="s">
        <v>264</v>
      </c>
    </row>
    <row r="21" spans="2:3" x14ac:dyDescent="0.25">
      <c r="C21" s="15"/>
    </row>
    <row r="22" spans="2:3" x14ac:dyDescent="0.25">
      <c r="B22" s="1" t="s">
        <v>265</v>
      </c>
    </row>
    <row r="23" spans="2:3" x14ac:dyDescent="0.25">
      <c r="B23" s="1" t="s">
        <v>266</v>
      </c>
    </row>
    <row r="24" spans="2:3" x14ac:dyDescent="0.25">
      <c r="B24" s="1" t="s">
        <v>267</v>
      </c>
    </row>
    <row r="26" spans="2:3" x14ac:dyDescent="0.25">
      <c r="B26" s="1" t="s">
        <v>268</v>
      </c>
    </row>
    <row r="27" spans="2:3" x14ac:dyDescent="0.25">
      <c r="B27" s="1" t="s">
        <v>269</v>
      </c>
    </row>
    <row r="28" spans="2:3" x14ac:dyDescent="0.25">
      <c r="B28" s="1" t="s">
        <v>270</v>
      </c>
    </row>
    <row r="30" spans="2:3" x14ac:dyDescent="0.25">
      <c r="B30" s="1" t="s">
        <v>271</v>
      </c>
    </row>
    <row r="31" spans="2:3" x14ac:dyDescent="0.25">
      <c r="B31" s="1" t="s">
        <v>272</v>
      </c>
    </row>
    <row r="34" spans="2:3" x14ac:dyDescent="0.25">
      <c r="B34" s="1" t="s">
        <v>273</v>
      </c>
    </row>
    <row r="40" spans="2:3" x14ac:dyDescent="0.25">
      <c r="C40" s="15"/>
    </row>
  </sheetData>
  <hyperlinks>
    <hyperlink ref="A1" location="Main!A1" display="main" xr:uid="{F72E7C89-8798-4755-8A29-EBCB831870F2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1FEA-6294-460E-9B9A-D8D3B96DCED6}">
  <dimension ref="A1:D15"/>
  <sheetViews>
    <sheetView showGridLines="0" zoomScale="130" zoomScaleNormal="130" workbookViewId="0">
      <selection activeCell="B23" sqref="B23:B24"/>
    </sheetView>
  </sheetViews>
  <sheetFormatPr defaultRowHeight="13.2" x14ac:dyDescent="0.25"/>
  <cols>
    <col min="1" max="1" width="4.77734375" style="1" customWidth="1"/>
    <col min="2" max="2" width="96.6640625" style="1" bestFit="1" customWidth="1"/>
    <col min="3" max="3" width="20.77734375" style="1" customWidth="1"/>
    <col min="4" max="16384" width="8.88671875" style="1"/>
  </cols>
  <sheetData>
    <row r="1" spans="1:4" x14ac:dyDescent="0.25">
      <c r="A1" s="3" t="s">
        <v>15</v>
      </c>
    </row>
    <row r="2" spans="1:4" x14ac:dyDescent="0.25">
      <c r="B2" s="15" t="s">
        <v>287</v>
      </c>
      <c r="C2" s="15" t="s">
        <v>291</v>
      </c>
      <c r="D2" s="15" t="s">
        <v>288</v>
      </c>
    </row>
    <row r="3" spans="1:4" x14ac:dyDescent="0.25">
      <c r="B3" s="1" t="s">
        <v>286</v>
      </c>
      <c r="C3" s="1" t="s">
        <v>300</v>
      </c>
      <c r="D3" s="1" t="s">
        <v>285</v>
      </c>
    </row>
    <row r="4" spans="1:4" x14ac:dyDescent="0.25">
      <c r="B4" s="1" t="s">
        <v>290</v>
      </c>
      <c r="C4" s="1" t="s">
        <v>292</v>
      </c>
      <c r="D4" s="1" t="s">
        <v>289</v>
      </c>
    </row>
    <row r="5" spans="1:4" x14ac:dyDescent="0.25">
      <c r="B5" s="1" t="s">
        <v>293</v>
      </c>
      <c r="D5" s="1" t="s">
        <v>273</v>
      </c>
    </row>
    <row r="6" spans="1:4" x14ac:dyDescent="0.25">
      <c r="B6" s="1" t="s">
        <v>295</v>
      </c>
      <c r="C6" s="1" t="s">
        <v>296</v>
      </c>
      <c r="D6" s="1" t="s">
        <v>294</v>
      </c>
    </row>
    <row r="7" spans="1:4" x14ac:dyDescent="0.25">
      <c r="B7" s="1" t="s">
        <v>298</v>
      </c>
      <c r="C7" s="1" t="s">
        <v>299</v>
      </c>
      <c r="D7" s="1" t="s">
        <v>297</v>
      </c>
    </row>
    <row r="8" spans="1:4" x14ac:dyDescent="0.25">
      <c r="B8" s="1" t="s">
        <v>303</v>
      </c>
      <c r="C8" s="1" t="s">
        <v>302</v>
      </c>
      <c r="D8" s="1" t="s">
        <v>301</v>
      </c>
    </row>
    <row r="9" spans="1:4" x14ac:dyDescent="0.25">
      <c r="B9" s="1" t="s">
        <v>305</v>
      </c>
      <c r="C9" s="1" t="s">
        <v>306</v>
      </c>
      <c r="D9" s="1" t="s">
        <v>304</v>
      </c>
    </row>
    <row r="10" spans="1:4" x14ac:dyDescent="0.25">
      <c r="B10" s="1" t="s">
        <v>311</v>
      </c>
      <c r="C10" s="1" t="s">
        <v>312</v>
      </c>
      <c r="D10" s="1" t="s">
        <v>310</v>
      </c>
    </row>
    <row r="11" spans="1:4" x14ac:dyDescent="0.25">
      <c r="B11" s="1" t="s">
        <v>338</v>
      </c>
      <c r="C11" s="1" t="s">
        <v>339</v>
      </c>
      <c r="D11" s="1" t="s">
        <v>337</v>
      </c>
    </row>
    <row r="12" spans="1:4" x14ac:dyDescent="0.25">
      <c r="B12" s="1" t="s">
        <v>345</v>
      </c>
      <c r="C12" s="1" t="s">
        <v>346</v>
      </c>
      <c r="D12" s="3" t="s">
        <v>341</v>
      </c>
    </row>
    <row r="13" spans="1:4" x14ac:dyDescent="0.25">
      <c r="B13" s="1" t="s">
        <v>343</v>
      </c>
      <c r="C13" s="1" t="s">
        <v>344</v>
      </c>
      <c r="D13" s="1" t="s">
        <v>342</v>
      </c>
    </row>
    <row r="14" spans="1:4" x14ac:dyDescent="0.25">
      <c r="B14" s="1" t="s">
        <v>347</v>
      </c>
      <c r="C14" s="1" t="s">
        <v>349</v>
      </c>
      <c r="D14" s="1" t="s">
        <v>348</v>
      </c>
    </row>
    <row r="15" spans="1:4" x14ac:dyDescent="0.25">
      <c r="B15" s="1" t="s">
        <v>352</v>
      </c>
      <c r="C15" s="1" t="s">
        <v>353</v>
      </c>
      <c r="D15" s="1" t="s">
        <v>340</v>
      </c>
    </row>
  </sheetData>
  <hyperlinks>
    <hyperlink ref="A1" location="Main!A1" display="main" xr:uid="{1A3C2DDB-392C-4208-AF15-051B597D9E20}"/>
    <hyperlink ref="D12" r:id="rId1" xr:uid="{85801E1F-051B-4751-BF79-1173B4EB5D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Model</vt:lpstr>
      <vt:lpstr>GPS</vt:lpstr>
      <vt:lpstr>SLS009</vt:lpstr>
      <vt:lpstr>OCV-501</vt:lpstr>
      <vt:lpstr>nelipepimut-S</vt:lpstr>
      <vt:lpstr>people</vt:lpstr>
      <vt:lpstr>peptide-vaccines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Franciszek Kessler</dc:creator>
  <cp:lastModifiedBy>Franciszek Kessler</cp:lastModifiedBy>
  <dcterms:created xsi:type="dcterms:W3CDTF">2024-01-06T21:29:40Z</dcterms:created>
  <dcterms:modified xsi:type="dcterms:W3CDTF">2026-07-05T09:19:52Z</dcterms:modified>
</cp:coreProperties>
</file>