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1685cd5063f9d2/Dokumenty/Models stocks NEW/"/>
    </mc:Choice>
  </mc:AlternateContent>
  <xr:revisionPtr revIDLastSave="365" documentId="8_{16009743-5748-4A97-B977-E61A77C71C61}" xr6:coauthVersionLast="47" xr6:coauthVersionMax="47" xr10:uidLastSave="{DA6560BE-A16B-4C1C-AADF-7F3051BDB095}"/>
  <bookViews>
    <workbookView xWindow="-108" yWindow="-108" windowWidth="23256" windowHeight="13896" activeTab="1" xr2:uid="{C2A537D2-81CC-41DE-90E3-F8EDF7DA01A3}"/>
  </bookViews>
  <sheets>
    <sheet name="Main" sheetId="1" r:id="rId1"/>
    <sheet name="Model" sheetId="2" r:id="rId2"/>
    <sheet name="ZIDESAMTINIB" sheetId="3" r:id="rId3"/>
    <sheet name="NELADALKI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0" i="2" l="1"/>
  <c r="BF39" i="2"/>
  <c r="BF38" i="2"/>
  <c r="AH32" i="2"/>
  <c r="AI32" i="2"/>
  <c r="AI33" i="2"/>
  <c r="AH33" i="2"/>
  <c r="AJ30" i="2"/>
  <c r="AK30" i="2"/>
  <c r="AL30" i="2"/>
  <c r="AM30" i="2"/>
  <c r="AN30" i="2"/>
  <c r="AO30" i="2"/>
  <c r="AO31" i="2" s="1"/>
  <c r="AO40" i="2" s="1"/>
  <c r="AP30" i="2"/>
  <c r="AP31" i="2" s="1"/>
  <c r="AP40" i="2" s="1"/>
  <c r="AQ30" i="2"/>
  <c r="AQ31" i="2" s="1"/>
  <c r="AQ40" i="2" s="1"/>
  <c r="AR30" i="2"/>
  <c r="AR31" i="2" s="1"/>
  <c r="AR40" i="2" s="1"/>
  <c r="AS30" i="2"/>
  <c r="AS31" i="2" s="1"/>
  <c r="AS40" i="2" s="1"/>
  <c r="AT30" i="2"/>
  <c r="AT31" i="2" s="1"/>
  <c r="AT40" i="2" s="1"/>
  <c r="AU30" i="2"/>
  <c r="AU31" i="2" s="1"/>
  <c r="AU40" i="2" s="1"/>
  <c r="AV30" i="2"/>
  <c r="AW30" i="2"/>
  <c r="AX30" i="2"/>
  <c r="AY30" i="2"/>
  <c r="AZ30" i="2"/>
  <c r="BA30" i="2"/>
  <c r="BA31" i="2" s="1"/>
  <c r="BA40" i="2" s="1"/>
  <c r="BB30" i="2"/>
  <c r="BB31" i="2" s="1"/>
  <c r="BB40" i="2" s="1"/>
  <c r="AJ31" i="2"/>
  <c r="AJ40" i="2" s="1"/>
  <c r="AK31" i="2"/>
  <c r="AK40" i="2" s="1"/>
  <c r="AL31" i="2"/>
  <c r="AL40" i="2" s="1"/>
  <c r="AM31" i="2"/>
  <c r="AM40" i="2" s="1"/>
  <c r="AN31" i="2"/>
  <c r="AN40" i="2" s="1"/>
  <c r="AV31" i="2"/>
  <c r="AV40" i="2" s="1"/>
  <c r="AW31" i="2"/>
  <c r="AW40" i="2" s="1"/>
  <c r="AX31" i="2"/>
  <c r="AX40" i="2" s="1"/>
  <c r="AY31" i="2"/>
  <c r="AY40" i="2" s="1"/>
  <c r="AZ31" i="2"/>
  <c r="AZ40" i="2" s="1"/>
  <c r="AI40" i="2"/>
  <c r="AI31" i="2"/>
  <c r="AI30" i="2"/>
  <c r="AK28" i="2"/>
  <c r="AL28" i="2"/>
  <c r="AM28" i="2"/>
  <c r="AN28" i="2" s="1"/>
  <c r="AK29" i="2"/>
  <c r="AL29" i="2"/>
  <c r="AM29" i="2"/>
  <c r="AJ29" i="2"/>
  <c r="AI29" i="2"/>
  <c r="AJ28" i="2"/>
  <c r="AL25" i="2"/>
  <c r="AK26" i="2"/>
  <c r="AL26" i="2"/>
  <c r="AM26" i="2"/>
  <c r="AN26" i="2"/>
  <c r="AO26" i="2"/>
  <c r="AP26" i="2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AK27" i="2"/>
  <c r="AK25" i="2" s="1"/>
  <c r="AL27" i="2"/>
  <c r="AM27" i="2"/>
  <c r="AM25" i="2" s="1"/>
  <c r="AN27" i="2"/>
  <c r="AN25" i="2" s="1"/>
  <c r="AO27" i="2"/>
  <c r="AO25" i="2" s="1"/>
  <c r="AP27" i="2"/>
  <c r="AP25" i="2" s="1"/>
  <c r="AQ27" i="2"/>
  <c r="AR27" i="2"/>
  <c r="AS27" i="2"/>
  <c r="AT27" i="2"/>
  <c r="AU27" i="2"/>
  <c r="AV27" i="2"/>
  <c r="AV25" i="2" s="1"/>
  <c r="AW27" i="2"/>
  <c r="AW25" i="2" s="1"/>
  <c r="AX27" i="2"/>
  <c r="AX25" i="2" s="1"/>
  <c r="AY27" i="2"/>
  <c r="AY25" i="2" s="1"/>
  <c r="AZ27" i="2"/>
  <c r="AZ25" i="2" s="1"/>
  <c r="BA27" i="2"/>
  <c r="BA25" i="2" s="1"/>
  <c r="BB27" i="2"/>
  <c r="AJ25" i="2"/>
  <c r="AI25" i="2"/>
  <c r="AJ27" i="2"/>
  <c r="AJ26" i="2"/>
  <c r="AI27" i="2"/>
  <c r="AI13" i="2"/>
  <c r="AI18" i="2" s="1"/>
  <c r="AI22" i="2" s="1"/>
  <c r="AJ14" i="2"/>
  <c r="AK14" i="2" s="1"/>
  <c r="AL14" i="2" s="1"/>
  <c r="AM14" i="2" s="1"/>
  <c r="AJ12" i="2"/>
  <c r="AK12" i="2" s="1"/>
  <c r="AI7" i="2"/>
  <c r="AJ6" i="2"/>
  <c r="AK6" i="2" s="1"/>
  <c r="AI17" i="2"/>
  <c r="AJ8" i="2"/>
  <c r="AK8" i="2" s="1"/>
  <c r="J12" i="1"/>
  <c r="J10" i="1"/>
  <c r="J9" i="1"/>
  <c r="J8" i="1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AO28" i="2" l="1"/>
  <c r="AN29" i="2"/>
  <c r="AU25" i="2"/>
  <c r="AT25" i="2"/>
  <c r="AS25" i="2"/>
  <c r="AR25" i="2"/>
  <c r="AQ25" i="2"/>
  <c r="BB25" i="2"/>
  <c r="AJ7" i="2"/>
  <c r="AJ17" i="2" s="1"/>
  <c r="AJ22" i="2" s="1"/>
  <c r="AJ13" i="2"/>
  <c r="AJ18" i="2"/>
  <c r="AI24" i="2"/>
  <c r="AI23" i="2"/>
  <c r="AL8" i="2"/>
  <c r="AL6" i="2"/>
  <c r="AK7" i="2"/>
  <c r="AK17" i="2" s="1"/>
  <c r="AL12" i="2"/>
  <c r="AK13" i="2"/>
  <c r="AK18" i="2" s="1"/>
  <c r="AP28" i="2" l="1"/>
  <c r="AO29" i="2"/>
  <c r="AJ24" i="2"/>
  <c r="AJ23" i="2" s="1"/>
  <c r="AJ36" i="2"/>
  <c r="AK22" i="2"/>
  <c r="AK36" i="2"/>
  <c r="AK24" i="2"/>
  <c r="AK23" i="2" s="1"/>
  <c r="AM12" i="2"/>
  <c r="AL13" i="2"/>
  <c r="AL18" i="2" s="1"/>
  <c r="AM6" i="2"/>
  <c r="AL7" i="2"/>
  <c r="AL17" i="2" s="1"/>
  <c r="AL22" i="2" s="1"/>
  <c r="AM8" i="2"/>
  <c r="AQ28" i="2" l="1"/>
  <c r="AP29" i="2"/>
  <c r="AL36" i="2"/>
  <c r="AL24" i="2"/>
  <c r="AL23" i="2" s="1"/>
  <c r="AN6" i="2"/>
  <c r="AM7" i="2"/>
  <c r="AM17" i="2" s="1"/>
  <c r="AM22" i="2" s="1"/>
  <c r="AN12" i="2"/>
  <c r="AM13" i="2"/>
  <c r="AM18" i="2" s="1"/>
  <c r="AQ29" i="2" l="1"/>
  <c r="AR28" i="2"/>
  <c r="AM36" i="2"/>
  <c r="AM24" i="2"/>
  <c r="AM23" i="2" s="1"/>
  <c r="AO12" i="2"/>
  <c r="AN13" i="2"/>
  <c r="AN18" i="2" s="1"/>
  <c r="AO6" i="2"/>
  <c r="AN7" i="2"/>
  <c r="AN17" i="2" s="1"/>
  <c r="AN22" i="2" s="1"/>
  <c r="AR29" i="2" l="1"/>
  <c r="AS28" i="2"/>
  <c r="AN36" i="2"/>
  <c r="AN24" i="2"/>
  <c r="AN23" i="2" s="1"/>
  <c r="AP6" i="2"/>
  <c r="AO7" i="2"/>
  <c r="AO17" i="2" s="1"/>
  <c r="AO13" i="2"/>
  <c r="AO18" i="2" s="1"/>
  <c r="AP12" i="2"/>
  <c r="AS29" i="2" l="1"/>
  <c r="AT28" i="2"/>
  <c r="AP13" i="2"/>
  <c r="AP18" i="2" s="1"/>
  <c r="AQ12" i="2"/>
  <c r="AO22" i="2"/>
  <c r="AQ6" i="2"/>
  <c r="AP7" i="2"/>
  <c r="AP17" i="2" s="1"/>
  <c r="AT29" i="2" l="1"/>
  <c r="AU28" i="2"/>
  <c r="AP22" i="2"/>
  <c r="AO36" i="2"/>
  <c r="AO24" i="2"/>
  <c r="AO23" i="2" s="1"/>
  <c r="AQ13" i="2"/>
  <c r="AQ18" i="2" s="1"/>
  <c r="AR12" i="2"/>
  <c r="AR6" i="2"/>
  <c r="AQ7" i="2"/>
  <c r="AQ17" i="2" s="1"/>
  <c r="AP24" i="2"/>
  <c r="AP23" i="2"/>
  <c r="AP36" i="2"/>
  <c r="AU29" i="2" l="1"/>
  <c r="AV28" i="2"/>
  <c r="AS6" i="2"/>
  <c r="AR7" i="2"/>
  <c r="AR17" i="2" s="1"/>
  <c r="AR13" i="2"/>
  <c r="AR18" i="2" s="1"/>
  <c r="AR22" i="2" s="1"/>
  <c r="AS12" i="2"/>
  <c r="AQ22" i="2"/>
  <c r="AW28" i="2" l="1"/>
  <c r="AV29" i="2"/>
  <c r="AR24" i="2"/>
  <c r="AR23" i="2" s="1"/>
  <c r="AR36" i="2"/>
  <c r="AT6" i="2"/>
  <c r="AS7" i="2"/>
  <c r="AS17" i="2" s="1"/>
  <c r="AQ24" i="2"/>
  <c r="AQ36" i="2"/>
  <c r="AQ23" i="2"/>
  <c r="AT12" i="2"/>
  <c r="AS13" i="2"/>
  <c r="AS18" i="2" s="1"/>
  <c r="AS22" i="2" s="1"/>
  <c r="AX28" i="2" l="1"/>
  <c r="AW29" i="2"/>
  <c r="AS24" i="2"/>
  <c r="AS23" i="2"/>
  <c r="AS36" i="2"/>
  <c r="AT13" i="2"/>
  <c r="AT18" i="2" s="1"/>
  <c r="AU12" i="2"/>
  <c r="AU6" i="2"/>
  <c r="AT7" i="2"/>
  <c r="AT17" i="2" s="1"/>
  <c r="AY28" i="2" l="1"/>
  <c r="AX29" i="2"/>
  <c r="AV6" i="2"/>
  <c r="AU7" i="2"/>
  <c r="AU17" i="2" s="1"/>
  <c r="AV12" i="2"/>
  <c r="AU13" i="2"/>
  <c r="AU18" i="2" s="1"/>
  <c r="AT22" i="2"/>
  <c r="AZ28" i="2" l="1"/>
  <c r="AY29" i="2"/>
  <c r="AW12" i="2"/>
  <c r="AV13" i="2"/>
  <c r="AV18" i="2" s="1"/>
  <c r="AW6" i="2"/>
  <c r="AV7" i="2"/>
  <c r="AV17" i="2" s="1"/>
  <c r="AT36" i="2"/>
  <c r="AT24" i="2"/>
  <c r="AT23" i="2" s="1"/>
  <c r="AU22" i="2"/>
  <c r="AZ29" i="2" l="1"/>
  <c r="BA28" i="2"/>
  <c r="AU24" i="2"/>
  <c r="AU23" i="2" s="1"/>
  <c r="AU36" i="2"/>
  <c r="AV22" i="2"/>
  <c r="AX6" i="2"/>
  <c r="AW7" i="2"/>
  <c r="AW17" i="2" s="1"/>
  <c r="AX12" i="2"/>
  <c r="AW13" i="2"/>
  <c r="AW18" i="2" s="1"/>
  <c r="BB28" i="2" l="1"/>
  <c r="BB29" i="2" s="1"/>
  <c r="BA29" i="2"/>
  <c r="AY12" i="2"/>
  <c r="AX13" i="2"/>
  <c r="AX18" i="2" s="1"/>
  <c r="AW22" i="2"/>
  <c r="AY6" i="2"/>
  <c r="AX7" i="2"/>
  <c r="AX17" i="2" s="1"/>
  <c r="AX22" i="2" s="1"/>
  <c r="AV36" i="2"/>
  <c r="AV24" i="2"/>
  <c r="AV23" i="2" s="1"/>
  <c r="AX36" i="2" l="1"/>
  <c r="AX24" i="2"/>
  <c r="AX23" i="2" s="1"/>
  <c r="AZ6" i="2"/>
  <c r="AY7" i="2"/>
  <c r="AY17" i="2" s="1"/>
  <c r="AW36" i="2"/>
  <c r="AW24" i="2"/>
  <c r="AW23" i="2" s="1"/>
  <c r="AZ12" i="2"/>
  <c r="AY13" i="2"/>
  <c r="AY18" i="2" s="1"/>
  <c r="BA12" i="2" l="1"/>
  <c r="AZ13" i="2"/>
  <c r="AZ18" i="2" s="1"/>
  <c r="AY22" i="2"/>
  <c r="BA6" i="2"/>
  <c r="AZ7" i="2"/>
  <c r="AZ17" i="2" s="1"/>
  <c r="AZ22" i="2" s="1"/>
  <c r="BB12" i="2" l="1"/>
  <c r="BB13" i="2" s="1"/>
  <c r="BB18" i="2" s="1"/>
  <c r="BA13" i="2"/>
  <c r="BA18" i="2" s="1"/>
  <c r="AZ36" i="2"/>
  <c r="AZ24" i="2"/>
  <c r="AZ23" i="2" s="1"/>
  <c r="BB6" i="2"/>
  <c r="BB7" i="2" s="1"/>
  <c r="BB17" i="2" s="1"/>
  <c r="BA7" i="2"/>
  <c r="BA17" i="2" s="1"/>
  <c r="BA22" i="2" s="1"/>
  <c r="AY36" i="2"/>
  <c r="AY24" i="2"/>
  <c r="AY23" i="2" s="1"/>
  <c r="BA36" i="2" l="1"/>
  <c r="BA24" i="2"/>
  <c r="BA23" i="2" s="1"/>
  <c r="BB22" i="2"/>
  <c r="BB24" i="2" l="1"/>
  <c r="BB23" i="2"/>
  <c r="BB36" i="2"/>
</calcChain>
</file>

<file path=xl/sharedStrings.xml><?xml version="1.0" encoding="utf-8"?>
<sst xmlns="http://schemas.openxmlformats.org/spreadsheetml/2006/main" count="297" uniqueCount="150">
  <si>
    <t>Price</t>
  </si>
  <si>
    <t>Shares</t>
  </si>
  <si>
    <t>MC</t>
  </si>
  <si>
    <t>Cash</t>
  </si>
  <si>
    <t>Debt</t>
  </si>
  <si>
    <t>EV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</si>
  <si>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</si>
  <si>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</si>
  <si>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</si>
  <si>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</si>
  <si>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</si>
  <si>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</si>
  <si>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</si>
  <si>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</si>
  <si>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</si>
  <si>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main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</si>
  <si>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</si>
  <si>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</si>
  <si>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</si>
  <si>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</si>
  <si>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</si>
  <si>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</si>
  <si>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</si>
  <si>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</si>
  <si>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</si>
  <si>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f</t>
  </si>
  <si>
    <t>Q326</t>
  </si>
  <si>
    <t>Q426</t>
  </si>
  <si>
    <t>NUVL</t>
  </si>
  <si>
    <t>Nuvalent Inc</t>
  </si>
  <si>
    <t>CEO</t>
  </si>
  <si>
    <t xml:space="preserve">James Porter </t>
  </si>
  <si>
    <t>pipeline</t>
  </si>
  <si>
    <t>brand</t>
  </si>
  <si>
    <t>indication</t>
  </si>
  <si>
    <t>phase</t>
  </si>
  <si>
    <t>MoA</t>
  </si>
  <si>
    <t>notes</t>
  </si>
  <si>
    <t>ZIDESAMTINIB (NVL-520)</t>
  </si>
  <si>
    <t>II</t>
  </si>
  <si>
    <t>NELADALKIB (NVL-655)</t>
  </si>
  <si>
    <t>TKI pre-treated advanced ROS1+NSCLC</t>
  </si>
  <si>
    <t>TKI-naive advanced ROS1+NSCLC</t>
  </si>
  <si>
    <t>other advanced ROS1+solid tumors</t>
  </si>
  <si>
    <t>TKI pre-treated advanced ALK+ NSCLC</t>
  </si>
  <si>
    <t>other ALK+solid tumors</t>
  </si>
  <si>
    <t>TKI-naive advanced ALK+NSCLC +alecitnib</t>
  </si>
  <si>
    <t>III</t>
  </si>
  <si>
    <t>NVL-330</t>
  </si>
  <si>
    <t>advanced HER2-altered NSCLC</t>
  </si>
  <si>
    <t>I</t>
  </si>
  <si>
    <t>APIC</t>
  </si>
  <si>
    <t>HQ Cambridge, MA</t>
  </si>
  <si>
    <t>small molecule inhibitors for kinase targets in cancer</t>
  </si>
  <si>
    <t>designed to overcome the resistance mechanisms</t>
  </si>
  <si>
    <t>ROS1 inhibitor</t>
  </si>
  <si>
    <t>generic</t>
  </si>
  <si>
    <t xml:space="preserve">ZIDESAMTINIB </t>
  </si>
  <si>
    <t>NVL-520</t>
  </si>
  <si>
    <t>brain-penetrant, TKR-sparing, ROS1-selective inhibitor</t>
  </si>
  <si>
    <t>designed with CNS penetrance and to avoid TKR-related CNS side effects seen</t>
  </si>
  <si>
    <t>with older TKR/ROS1 drugs</t>
  </si>
  <si>
    <t>NSCLC (non-small cell lung cancer)</t>
  </si>
  <si>
    <t>most common lung cancer (85% of all diagnoses)</t>
  </si>
  <si>
    <t>Trials</t>
  </si>
  <si>
    <t>ARROS-1</t>
  </si>
  <si>
    <t>44% objective response rate (ORR) in 117 ROS1 TKI pre-treated patients, including 50% who had</t>
  </si>
  <si>
    <t>received 2 or more prior ROS1 inhibitors, estimated response durability of 78% at 12 months</t>
  </si>
  <si>
    <t>and 62% at 18 months</t>
  </si>
  <si>
    <t xml:space="preserve">in subset treated with just one prior TKI, ORR rose to 51% with durability of 93% at both the 12- and </t>
  </si>
  <si>
    <t>18-month landmarks</t>
  </si>
  <si>
    <t>in TKI naive patients (frontline) preliminary data showed an 89% ORR</t>
  </si>
  <si>
    <t>NDA</t>
  </si>
  <si>
    <t>under review</t>
  </si>
  <si>
    <t>PDUFA 9/18/26</t>
  </si>
  <si>
    <t xml:space="preserve">NELADALKIB </t>
  </si>
  <si>
    <t>NVL-655</t>
  </si>
  <si>
    <t>NSCLC</t>
  </si>
  <si>
    <t>ALK inhibitor</t>
  </si>
  <si>
    <t>designed to remain active in tumors that have developed resistance to first</t>
  </si>
  <si>
    <t xml:space="preserve">second and thrid generation ALK inhibitors, including those with compound </t>
  </si>
  <si>
    <t>mutations like G1202R</t>
  </si>
  <si>
    <t>ALKOVE-1 trial</t>
  </si>
  <si>
    <t>in 253 TKI-pretreated patients (median of 3 prior therapies), BICR ORR was 31%</t>
  </si>
  <si>
    <t>with 12 &amp; 18-month duration of response rates of 64% and 53%</t>
  </si>
  <si>
    <t>among lorlatinib-naive patients, ORR reached 46% in patients with the ALK G1202R</t>
  </si>
  <si>
    <t xml:space="preserve">resistance mutation (the hardest to treat), ORR was 68% prior TKIs and 83% in </t>
  </si>
  <si>
    <t>lorlatinib-naive cases</t>
  </si>
  <si>
    <t>in preliminary TKI naive patients ORR was 86% with a 91% 12-month durability rate</t>
  </si>
  <si>
    <t>and a 78% intracranial response rate with no CNS progression events</t>
  </si>
  <si>
    <t>PDUFA 11/27/26</t>
  </si>
  <si>
    <t xml:space="preserve">for frontline TKI naive patients </t>
  </si>
  <si>
    <t>HEROEX-1 trial</t>
  </si>
  <si>
    <t>founded Jan 2017</t>
  </si>
  <si>
    <t xml:space="preserve">De-risked assets at the door. Both lead drugs had received FDA Breakthrough Therapy and Orphan </t>
  </si>
  <si>
    <t xml:space="preserve">Drug designations and were already under active FDA review with 2026 PDUFA dates — meaning </t>
  </si>
  <si>
    <t xml:space="preserve">GSK was buying near-certain near-term approvals, not a bet on clinical success. </t>
  </si>
  <si>
    <t xml:space="preserve">Validated targets + clear differentiation. GSK's acquisition strategy explicitly focuses on assets with </t>
  </si>
  <si>
    <t xml:space="preserve">validated targets that meaningfully address efficacy or tolerability limitations of existing standard </t>
  </si>
  <si>
    <t xml:space="preserve">of care. Nuvalent's drugs weren't just incrementally better — they worked in patients who had already </t>
  </si>
  <si>
    <t>failed the existing generation of drugs, including lorlatinib (the current best-in-class ALK inhibitor).</t>
  </si>
  <si>
    <t xml:space="preserve">Brain penetration. A recurring theme in both drugs. CNS metastases are common in NSCLC and </t>
  </si>
  <si>
    <t xml:space="preserve">poorly addressed by many existing therapies. Both zidesamtinib and neladalkib were designed </t>
  </si>
  <si>
    <t xml:space="preserve">specifically for brain penetrance — a major unmet need that broadens the label and patient </t>
  </si>
  <si>
    <t>population.</t>
  </si>
  <si>
    <t>patients</t>
  </si>
  <si>
    <t xml:space="preserve">with roughly 240k new lung cancer diagnoses per year in the US </t>
  </si>
  <si>
    <t>85% of it is NSCLC, then 2k-4k ROS1 positive NSCLC patients annually</t>
  </si>
  <si>
    <t>3-5% NSCLC cases are ALK-positive - rouglhy 6k-10k new US patients pa</t>
  </si>
  <si>
    <t>initial indication is TKI-pretreated patients, specifically those who have failed</t>
  </si>
  <si>
    <t>existing ALK inhibitors including lorlatinib (Lorbrena)</t>
  </si>
  <si>
    <t xml:space="preserve">The ALKAZAR Phase 3 comparing neladalkibb heat to head against </t>
  </si>
  <si>
    <t>alectinib in frontline patients is where much larger commercial story lives</t>
  </si>
  <si>
    <t>potentially adressing the full 6k-10k patients annual US population</t>
  </si>
  <si>
    <t>https://clinicaltrials.gov/study/NCT06765109</t>
  </si>
  <si>
    <t>start 2025-07-17</t>
  </si>
  <si>
    <t>primary completion 2029-12</t>
  </si>
  <si>
    <t>ALKAZAR trial NCT06765109 n=450</t>
  </si>
  <si>
    <t>pp</t>
  </si>
  <si>
    <t>$300k-$420k</t>
  </si>
  <si>
    <t>$180k-$240k</t>
  </si>
  <si>
    <t>ZIDESAMITNIB</t>
  </si>
  <si>
    <t>NELADALKIB</t>
  </si>
  <si>
    <t>revenue</t>
  </si>
  <si>
    <t>COGS</t>
  </si>
  <si>
    <t>Gross profit</t>
  </si>
  <si>
    <t>tax</t>
  </si>
  <si>
    <t>gm</t>
  </si>
  <si>
    <t>om</t>
  </si>
  <si>
    <t>pm</t>
  </si>
  <si>
    <t>ROS1 fusions occur in about 1-2% of NSCLC patients</t>
  </si>
  <si>
    <t>NSCLC ROS1 patients</t>
  </si>
  <si>
    <t>ZIDESAMITNIB - $200k pa pp</t>
  </si>
  <si>
    <t>TAM</t>
  </si>
  <si>
    <t>penetration</t>
  </si>
  <si>
    <t>-</t>
  </si>
  <si>
    <t>NSCLC ALK patients</t>
  </si>
  <si>
    <t>NELADALKIB - $400k pp pa</t>
  </si>
  <si>
    <t>SG&amp;A</t>
  </si>
  <si>
    <t>other</t>
  </si>
  <si>
    <t>operating profit</t>
  </si>
  <si>
    <t>EBIT</t>
  </si>
  <si>
    <t>NI</t>
  </si>
  <si>
    <t>eps</t>
  </si>
  <si>
    <t>s/o</t>
  </si>
  <si>
    <t>terminal</t>
  </si>
  <si>
    <t>discount</t>
  </si>
  <si>
    <t>NPV</t>
  </si>
  <si>
    <t>PS</t>
  </si>
  <si>
    <t>assuming fast adaptation, profit from the first year of reveneues - 2027, rather 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</si>
</sst>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u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0" borderId="0" xfId="1" applyFont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4" xfId="1" applyFont="1" applyBorder="1"/>
    <xf numFmtId="0" fontId="4" fillId="0" borderId="6" xfId="1" applyFont="1" applyBorder="1"/>
    <xf numFmtId="3" fontId="5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598005</xdr:colOff>
      <xdr:row>1</xdr:row>
      <xdr:rowOff>24185</xdr:rowOff>
    </xdr:from>
    <xdr:to>
      <xdr:col>18</xdr:col>
      <xdr:colOff>598005</xdr:colOff>
      <xdr:row>143</xdr:row>
      <xdr:rowOff>33075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974397-2621-224F-51AE-B64322E22395}"/>
            </a:ext>
          </a:extLst>
        </xdr:cNvPr>
        <xdr:cNvCxnSpPr/>
      </xdr:nvCxnSpPr>
      <xdr:spPr>
        <a:xfrm>
          <a:off x="12107518" y="189837"/>
          <a:ext cx="0" cy="21709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586290</xdr:colOff>
      <xdr:row>1</xdr:row>
      <xdr:rowOff>33642</xdr:rowOff>
    </xdr:from>
    <xdr:to>
      <xdr:col>32</xdr:col>
      <xdr:colOff>586290</xdr:colOff>
      <xdr:row>143</xdr:row>
      <xdr:rowOff>42532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EE9528-761F-4EF3-BEE3-E462C1297277}"/>
            </a:ext>
          </a:extLst>
        </xdr:cNvPr>
        <xdr:cNvCxnSpPr/>
      </xdr:nvCxnSpPr>
      <xdr:spPr>
        <a:xfrm>
          <a:off x="17375138" y="199294"/>
          <a:ext cx="0" cy="21709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valent.com/pipelin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F600-D258-4A06-817C-411221231C5A}">
  <dimension ref="B2:P35"/>
  <sheetViews>
    <sheetView showGridLines="0" zoomScale="115" zoomScaleNormal="115" workbookViewId="0">
      <selection activeCell="J8" sqref="J8"/>
    </sheetView>
  </sheetViews>
  <sheetFormatPr defaultColWidth="8.88671875" defaultRowHeight="13.2" x14ac:dyDescent="0.25"/>
  <cols>
    <col min="1" max="1" width="4.6640625" style="1" customWidth="1"/>
    <col min="2" max="2" width="23.33203125" style="1" bestFit="1" customWidth="1"/>
    <col min="3" max="3" width="35.21875" style="1" bestFit="1" customWidth="1"/>
    <col min="4" max="4" width="8.88671875" style="18"/>
    <col min="5" max="5" width="12.77734375" style="18" bestFit="1" customWidth="1"/>
    <col min="6" max="6" width="14" style="18" bestFit="1" customWidth="1"/>
    <col min="7" max="16384" width="8.88671875" style="1"/>
  </cols>
  <sheetData>
    <row r="2" spans="2:16" x14ac:dyDescent="0.25">
      <c r="B2" s="4" t="s">
        <v>33</v>
      </c>
      <c r="C2" s="5" t="s">
        <v>34</v>
      </c>
      <c r="D2" s="11" t="s">
        <v>35</v>
      </c>
      <c r="E2" s="11" t="s">
        <v>36</v>
      </c>
      <c r="F2" s="12" t="s">
        <v>37</v>
      </c>
      <c r="J2" s="1" t="s">
        <v>28</v>
      </c>
      <c r="O2" s="1" t="s">
        <v>52</v>
      </c>
    </row>
    <row r="3" spans="2:16" x14ac:dyDescent="0.25">
      <c r="B3" s="21" t="s">
        <v>38</v>
      </c>
      <c r="C3" s="6" t="s">
        <v>41</v>
      </c>
      <c r="D3" s="13" t="s">
        <v>39</v>
      </c>
      <c r="E3" s="13" t="s">
        <v>55</v>
      </c>
      <c r="F3" s="15" t="s">
        <v>74</v>
      </c>
      <c r="J3" s="1" t="s">
        <v>29</v>
      </c>
      <c r="L3" s="3" t="s">
        <v>32</v>
      </c>
      <c r="O3" s="1" t="s">
        <v>93</v>
      </c>
    </row>
    <row r="4" spans="2:16" x14ac:dyDescent="0.25">
      <c r="B4" s="22" t="s">
        <v>38</v>
      </c>
      <c r="C4" s="8" t="s">
        <v>42</v>
      </c>
      <c r="D4" s="14" t="s">
        <v>39</v>
      </c>
      <c r="E4" s="14" t="s">
        <v>55</v>
      </c>
      <c r="F4" s="15" t="s">
        <v>74</v>
      </c>
    </row>
    <row r="5" spans="2:16" x14ac:dyDescent="0.25">
      <c r="B5" s="22" t="s">
        <v>38</v>
      </c>
      <c r="C5" s="8" t="s">
        <v>43</v>
      </c>
      <c r="D5" s="14" t="s">
        <v>39</v>
      </c>
      <c r="E5" s="14" t="s">
        <v>55</v>
      </c>
      <c r="F5" s="15" t="s">
        <v>74</v>
      </c>
    </row>
    <row r="6" spans="2:16" x14ac:dyDescent="0.25">
      <c r="B6" s="7"/>
      <c r="C6" s="8"/>
      <c r="D6" s="14"/>
      <c r="E6" s="14"/>
      <c r="F6" s="15"/>
      <c r="J6" s="1" t="s">
        <v>23</v>
      </c>
      <c r="O6" s="1" t="s">
        <v>30</v>
      </c>
      <c r="P6" s="1" t="s">
        <v>31</v>
      </c>
    </row>
    <row r="7" spans="2:16" x14ac:dyDescent="0.25">
      <c r="B7" s="22" t="s">
        <v>40</v>
      </c>
      <c r="C7" s="8" t="s">
        <v>44</v>
      </c>
      <c r="D7" s="14" t="s">
        <v>39</v>
      </c>
      <c r="E7" s="14" t="s">
        <v>78</v>
      </c>
      <c r="F7" s="1" t="s">
        <v>90</v>
      </c>
      <c r="I7" s="1" t="s">
        <v>0</v>
      </c>
      <c r="J7" s="1">
        <v>123.52</v>
      </c>
    </row>
    <row r="8" spans="2:16" x14ac:dyDescent="0.25">
      <c r="B8" s="22" t="s">
        <v>40</v>
      </c>
      <c r="C8" s="8" t="s">
        <v>45</v>
      </c>
      <c r="D8" s="14" t="s">
        <v>39</v>
      </c>
      <c r="E8" s="14" t="s">
        <v>78</v>
      </c>
      <c r="F8" s="1" t="s">
        <v>90</v>
      </c>
      <c r="I8" s="1" t="s">
        <v>1</v>
      </c>
      <c r="J8" s="2">
        <f>73.562661+5.435254</f>
        <v>78.997915000000006</v>
      </c>
    </row>
    <row r="9" spans="2:16" x14ac:dyDescent="0.25">
      <c r="B9" s="22" t="s">
        <v>40</v>
      </c>
      <c r="C9" s="8" t="s">
        <v>46</v>
      </c>
      <c r="D9" s="14" t="s">
        <v>47</v>
      </c>
      <c r="E9" s="14" t="s">
        <v>78</v>
      </c>
      <c r="F9" s="1" t="s">
        <v>90</v>
      </c>
      <c r="I9" s="1" t="s">
        <v>2</v>
      </c>
      <c r="J9" s="2">
        <f>+J8*J7</f>
        <v>9757.8224608</v>
      </c>
    </row>
    <row r="10" spans="2:16" x14ac:dyDescent="0.25">
      <c r="B10" s="7"/>
      <c r="F10" s="15"/>
      <c r="I10" s="1" t="s">
        <v>3</v>
      </c>
      <c r="J10" s="2">
        <f>159.733+1127.743</f>
        <v>1287.4759999999999</v>
      </c>
    </row>
    <row r="11" spans="2:16" x14ac:dyDescent="0.25">
      <c r="B11" s="7" t="s">
        <v>48</v>
      </c>
      <c r="C11" s="1" t="s">
        <v>49</v>
      </c>
      <c r="D11" s="18" t="s">
        <v>50</v>
      </c>
      <c r="F11" s="15" t="s">
        <v>92</v>
      </c>
      <c r="I11" s="1" t="s">
        <v>4</v>
      </c>
      <c r="J11" s="2">
        <v>0</v>
      </c>
    </row>
    <row r="12" spans="2:16" x14ac:dyDescent="0.25">
      <c r="B12" s="7"/>
      <c r="F12" s="15"/>
      <c r="I12" s="1" t="s">
        <v>5</v>
      </c>
      <c r="J12" s="2">
        <f>+J11+J9-J10</f>
        <v>8470.3464607999995</v>
      </c>
    </row>
    <row r="13" spans="2:16" x14ac:dyDescent="0.25">
      <c r="B13" s="7"/>
      <c r="F13" s="15"/>
    </row>
    <row r="14" spans="2:16" x14ac:dyDescent="0.25">
      <c r="B14" s="7"/>
      <c r="F14" s="15"/>
    </row>
    <row r="15" spans="2:16" x14ac:dyDescent="0.25">
      <c r="B15" s="9"/>
      <c r="C15" s="10"/>
      <c r="D15" s="16"/>
      <c r="E15" s="16"/>
      <c r="F15" s="17"/>
      <c r="I15" s="1" t="s">
        <v>51</v>
      </c>
      <c r="J15" s="2">
        <v>2257.422</v>
      </c>
    </row>
    <row r="18" spans="2:2" x14ac:dyDescent="0.25">
      <c r="B18" s="1" t="s">
        <v>53</v>
      </c>
    </row>
    <row r="19" spans="2:2" x14ac:dyDescent="0.25">
      <c r="B19" s="1" t="s">
        <v>54</v>
      </c>
    </row>
    <row r="23" spans="2:2" x14ac:dyDescent="0.25">
      <c r="B23" s="1" t="s">
        <v>94</v>
      </c>
    </row>
    <row r="24" spans="2:2" x14ac:dyDescent="0.25">
      <c r="B24" s="1" t="s">
        <v>95</v>
      </c>
    </row>
    <row r="25" spans="2:2" x14ac:dyDescent="0.25">
      <c r="B25" s="1" t="s">
        <v>96</v>
      </c>
    </row>
    <row r="27" spans="2:2" x14ac:dyDescent="0.25">
      <c r="B27" s="1" t="s">
        <v>97</v>
      </c>
    </row>
    <row r="28" spans="2:2" x14ac:dyDescent="0.25">
      <c r="B28" s="1" t="s">
        <v>98</v>
      </c>
    </row>
    <row r="29" spans="2:2" x14ac:dyDescent="0.25">
      <c r="B29" s="1" t="s">
        <v>99</v>
      </c>
    </row>
    <row r="30" spans="2:2" x14ac:dyDescent="0.25">
      <c r="B30" s="1" t="s">
        <v>100</v>
      </c>
    </row>
    <row r="32" spans="2:2" x14ac:dyDescent="0.25">
      <c r="B32" s="1" t="s">
        <v>101</v>
      </c>
    </row>
    <row r="33" spans="2:2" x14ac:dyDescent="0.25">
      <c r="B33" s="1" t="s">
        <v>102</v>
      </c>
    </row>
    <row r="34" spans="2:2" x14ac:dyDescent="0.25">
      <c r="B34" s="1" t="s">
        <v>103</v>
      </c>
    </row>
    <row r="35" spans="2:2" x14ac:dyDescent="0.25">
      <c r="B35" s="1" t="s">
        <v>104</v>
      </c>
    </row>
  </sheetData>
  <hyperlinks>
    <hyperlink ref="L3" r:id="rId1" xr:uid="{9453D686-37A2-49FD-90A8-CD43F07AEFC2}"/>
    <hyperlink ref="B3:B5" location="ZIDESAMTINIB!A1" display="ZIDESAMTINIB (NVL-520)" xr:uid="{25896CE5-1659-4536-ADF2-5C452B6609CC}"/>
    <hyperlink ref="B7:B9" location="NELADALKIB!A1" display="NELADALKIB (NVL-655)" xr:uid="{70B0E8BD-D6DC-4041-891E-79E4C124FF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3057-3870-4DFD-8E06-88FDDED23778}">
  <dimension ref="A1:EF119"/>
  <sheetViews>
    <sheetView showGridLines="0" tabSelected="1" zoomScale="115" zoomScaleNormal="115" workbookViewId="0">
      <pane xSplit="2" ySplit="2" topLeftCell="AH15" activePane="bottomRight" state="frozen"/>
      <selection activeCell="D19" sqref="D19"/>
      <selection pane="topRight" activeCell="D19" sqref="D19"/>
      <selection pane="bottomLeft" activeCell="D19" sqref="D19"/>
      <selection pane="bottomRight" activeCell="AJ38" sqref="AJ38"/>
    </sheetView>
  </sheetViews>
  <sheetFormatPr defaultColWidth="8.88671875" defaultRowHeight="13.2" x14ac:dyDescent="0.25"/>
  <cols>
    <col min="1" max="1" width="4.88671875" style="1" bestFit="1" customWidth="1"/>
    <col min="2" max="2" width="20.6640625" style="1" customWidth="1"/>
    <col min="3" max="16384" width="8.88671875" style="1"/>
  </cols>
  <sheetData>
    <row r="1" spans="1:136" x14ac:dyDescent="0.25">
      <c r="A1" s="3" t="s">
        <v>15</v>
      </c>
    </row>
    <row r="2" spans="1:136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26</v>
      </c>
      <c r="V2" s="1" t="s">
        <v>27</v>
      </c>
      <c r="Z2" s="1">
        <v>2018</v>
      </c>
      <c r="AA2" s="1">
        <f>Z2+1</f>
        <v>2019</v>
      </c>
      <c r="AB2" s="1">
        <f t="shared" ref="AB2:AJ2" si="0">AA2+1</f>
        <v>2020</v>
      </c>
      <c r="AC2" s="1">
        <f t="shared" si="0"/>
        <v>2021</v>
      </c>
      <c r="AD2" s="1">
        <f t="shared" si="0"/>
        <v>2022</v>
      </c>
      <c r="AE2" s="1">
        <f t="shared" si="0"/>
        <v>2023</v>
      </c>
      <c r="AF2" s="1">
        <f t="shared" si="0"/>
        <v>2024</v>
      </c>
      <c r="AG2" s="1">
        <f t="shared" si="0"/>
        <v>2025</v>
      </c>
      <c r="AH2" s="1">
        <f t="shared" si="0"/>
        <v>2026</v>
      </c>
      <c r="AI2" s="1">
        <f t="shared" si="0"/>
        <v>2027</v>
      </c>
      <c r="AJ2" s="1">
        <f t="shared" si="0"/>
        <v>2028</v>
      </c>
      <c r="AK2" s="1">
        <f t="shared" ref="AK2" si="1">AJ2+1</f>
        <v>2029</v>
      </c>
      <c r="AL2" s="1">
        <f t="shared" ref="AL2" si="2">AK2+1</f>
        <v>2030</v>
      </c>
      <c r="AM2" s="1">
        <f t="shared" ref="AM2" si="3">AL2+1</f>
        <v>2031</v>
      </c>
      <c r="AN2" s="1">
        <f t="shared" ref="AN2" si="4">AM2+1</f>
        <v>2032</v>
      </c>
      <c r="AO2" s="1">
        <f t="shared" ref="AO2" si="5">AN2+1</f>
        <v>2033</v>
      </c>
      <c r="AP2" s="1">
        <f t="shared" ref="AP2" si="6">AO2+1</f>
        <v>2034</v>
      </c>
      <c r="AQ2" s="1">
        <f t="shared" ref="AQ2" si="7">AP2+1</f>
        <v>2035</v>
      </c>
      <c r="AR2" s="1">
        <f t="shared" ref="AR2" si="8">AQ2+1</f>
        <v>2036</v>
      </c>
      <c r="AS2" s="1">
        <f t="shared" ref="AS2" si="9">AR2+1</f>
        <v>2037</v>
      </c>
      <c r="AT2" s="1">
        <f t="shared" ref="AT2" si="10">AS2+1</f>
        <v>2038</v>
      </c>
      <c r="AU2" s="1">
        <f t="shared" ref="AU2" si="11">AT2+1</f>
        <v>2039</v>
      </c>
      <c r="AV2" s="1">
        <f t="shared" ref="AV2" si="12">AU2+1</f>
        <v>2040</v>
      </c>
      <c r="AW2" s="1">
        <f t="shared" ref="AW2" si="13">AV2+1</f>
        <v>2041</v>
      </c>
      <c r="AX2" s="1">
        <f t="shared" ref="AX2" si="14">AW2+1</f>
        <v>2042</v>
      </c>
      <c r="AY2" s="1">
        <f t="shared" ref="AY2" si="15">AX2+1</f>
        <v>2043</v>
      </c>
      <c r="AZ2" s="1">
        <f t="shared" ref="AZ2" si="16">AY2+1</f>
        <v>2044</v>
      </c>
      <c r="BA2" s="1">
        <f t="shared" ref="BA2" si="17">AZ2+1</f>
        <v>2045</v>
      </c>
      <c r="BB2" s="1">
        <f t="shared" ref="BB2" si="18">BA2+1</f>
        <v>2046</v>
      </c>
      <c r="BC2" s="1">
        <f t="shared" ref="BC2" si="19">BB2+1</f>
        <v>2047</v>
      </c>
      <c r="BD2" s="1">
        <f t="shared" ref="BD2" si="20">BC2+1</f>
        <v>2048</v>
      </c>
      <c r="BE2" s="1">
        <f t="shared" ref="BE2" si="21">BD2+1</f>
        <v>2049</v>
      </c>
      <c r="BF2" s="1">
        <f t="shared" ref="BF2" si="22">BE2+1</f>
        <v>2050</v>
      </c>
      <c r="BG2" s="1">
        <f t="shared" ref="BG2" si="23">BF2+1</f>
        <v>2051</v>
      </c>
      <c r="BH2" s="1">
        <f t="shared" ref="BH2" si="24">BG2+1</f>
        <v>2052</v>
      </c>
      <c r="BI2" s="1">
        <f t="shared" ref="BI2" si="25">BH2+1</f>
        <v>2053</v>
      </c>
      <c r="BJ2" s="1">
        <f t="shared" ref="BJ2" si="26">BI2+1</f>
        <v>2054</v>
      </c>
      <c r="BK2" s="1">
        <f t="shared" ref="BK2" si="27">BJ2+1</f>
        <v>2055</v>
      </c>
      <c r="BL2" s="1">
        <f t="shared" ref="BL2" si="28">BK2+1</f>
        <v>2056</v>
      </c>
      <c r="BM2" s="1">
        <f t="shared" ref="BM2" si="29">BL2+1</f>
        <v>2057</v>
      </c>
      <c r="BN2" s="1">
        <f t="shared" ref="BN2" si="30">BM2+1</f>
        <v>2058</v>
      </c>
      <c r="BO2" s="1">
        <f t="shared" ref="BO2" si="31">BN2+1</f>
        <v>2059</v>
      </c>
      <c r="BP2" s="1">
        <f t="shared" ref="BP2" si="32">BO2+1</f>
        <v>2060</v>
      </c>
      <c r="BQ2" s="1">
        <f t="shared" ref="BQ2" si="33">BP2+1</f>
        <v>2061</v>
      </c>
      <c r="BR2" s="1">
        <f t="shared" ref="BR2" si="34">BQ2+1</f>
        <v>2062</v>
      </c>
      <c r="BS2" s="1">
        <f t="shared" ref="BS2" si="35">BR2+1</f>
        <v>2063</v>
      </c>
      <c r="BT2" s="1">
        <f t="shared" ref="BT2" si="36">BS2+1</f>
        <v>2064</v>
      </c>
      <c r="BU2" s="1">
        <f t="shared" ref="BU2" si="37">BT2+1</f>
        <v>2065</v>
      </c>
      <c r="BV2" s="1">
        <f t="shared" ref="BV2" si="38">BU2+1</f>
        <v>2066</v>
      </c>
      <c r="BW2" s="1">
        <f t="shared" ref="BW2" si="39">BV2+1</f>
        <v>2067</v>
      </c>
      <c r="BX2" s="1">
        <f t="shared" ref="BX2" si="40">BW2+1</f>
        <v>2068</v>
      </c>
      <c r="BY2" s="1">
        <f t="shared" ref="BY2" si="41">BX2+1</f>
        <v>2069</v>
      </c>
      <c r="BZ2" s="1">
        <f t="shared" ref="BZ2" si="42">BY2+1</f>
        <v>2070</v>
      </c>
      <c r="CA2" s="1">
        <f t="shared" ref="CA2" si="43">BZ2+1</f>
        <v>2071</v>
      </c>
      <c r="CB2" s="1">
        <f t="shared" ref="CB2" si="44">CA2+1</f>
        <v>2072</v>
      </c>
      <c r="CC2" s="1">
        <f t="shared" ref="CC2" si="45">CB2+1</f>
        <v>2073</v>
      </c>
      <c r="CD2" s="1">
        <f t="shared" ref="CD2" si="46">CC2+1</f>
        <v>2074</v>
      </c>
      <c r="CE2" s="1">
        <f t="shared" ref="CE2" si="47">CD2+1</f>
        <v>2075</v>
      </c>
      <c r="CF2" s="1">
        <f t="shared" ref="CF2" si="48">CE2+1</f>
        <v>2076</v>
      </c>
      <c r="CG2" s="1">
        <f t="shared" ref="CG2" si="49">CF2+1</f>
        <v>2077</v>
      </c>
      <c r="CH2" s="1">
        <f t="shared" ref="CH2" si="50">CG2+1</f>
        <v>2078</v>
      </c>
      <c r="CI2" s="1">
        <f t="shared" ref="CI2" si="51">CH2+1</f>
        <v>2079</v>
      </c>
      <c r="CJ2" s="1">
        <f t="shared" ref="CJ2" si="52">CI2+1</f>
        <v>2080</v>
      </c>
      <c r="CK2" s="1">
        <f t="shared" ref="CK2" si="53">CJ2+1</f>
        <v>2081</v>
      </c>
      <c r="CL2" s="1">
        <f t="shared" ref="CL2" si="54">CK2+1</f>
        <v>2082</v>
      </c>
      <c r="CM2" s="1">
        <f t="shared" ref="CM2" si="55">CL2+1</f>
        <v>2083</v>
      </c>
      <c r="CN2" s="1">
        <f t="shared" ref="CN2" si="56">CM2+1</f>
        <v>2084</v>
      </c>
      <c r="CO2" s="1">
        <f t="shared" ref="CO2" si="57">CN2+1</f>
        <v>2085</v>
      </c>
      <c r="CP2" s="1">
        <f t="shared" ref="CP2" si="58">CO2+1</f>
        <v>2086</v>
      </c>
      <c r="CQ2" s="1">
        <f t="shared" ref="CQ2" si="59">CP2+1</f>
        <v>2087</v>
      </c>
      <c r="CR2" s="1">
        <f t="shared" ref="CR2" si="60">CQ2+1</f>
        <v>2088</v>
      </c>
      <c r="CS2" s="1">
        <f t="shared" ref="CS2" si="61">CR2+1</f>
        <v>2089</v>
      </c>
      <c r="CT2" s="1">
        <f t="shared" ref="CT2" si="62">CS2+1</f>
        <v>2090</v>
      </c>
      <c r="CU2" s="1">
        <f t="shared" ref="CU2" si="63">CT2+1</f>
        <v>2091</v>
      </c>
      <c r="CV2" s="1">
        <f t="shared" ref="CV2" si="64">CU2+1</f>
        <v>2092</v>
      </c>
      <c r="CW2" s="1">
        <f t="shared" ref="CW2" si="65">CV2+1</f>
        <v>2093</v>
      </c>
      <c r="CX2" s="1">
        <f t="shared" ref="CX2" si="66">CW2+1</f>
        <v>2094</v>
      </c>
      <c r="CY2" s="1">
        <f t="shared" ref="CY2" si="67">CX2+1</f>
        <v>2095</v>
      </c>
      <c r="CZ2" s="1">
        <f t="shared" ref="CZ2" si="68">CY2+1</f>
        <v>2096</v>
      </c>
      <c r="DA2" s="1">
        <f t="shared" ref="DA2" si="69">CZ2+1</f>
        <v>2097</v>
      </c>
      <c r="DB2" s="1">
        <f t="shared" ref="DB2" si="70">DA2+1</f>
        <v>2098</v>
      </c>
      <c r="DC2" s="1">
        <f t="shared" ref="DC2" si="71">DB2+1</f>
        <v>2099</v>
      </c>
      <c r="DD2" s="1">
        <f t="shared" ref="DD2" si="72">DC2+1</f>
        <v>2100</v>
      </c>
      <c r="DE2" s="1">
        <f t="shared" ref="DE2" si="73">DD2+1</f>
        <v>2101</v>
      </c>
      <c r="DF2" s="1">
        <f t="shared" ref="DF2" si="74">DE2+1</f>
        <v>2102</v>
      </c>
      <c r="DG2" s="1">
        <f t="shared" ref="DG2" si="75">DF2+1</f>
        <v>2103</v>
      </c>
      <c r="DH2" s="1">
        <f t="shared" ref="DH2" si="76">DG2+1</f>
        <v>2104</v>
      </c>
      <c r="DI2" s="1">
        <f t="shared" ref="DI2" si="77">DH2+1</f>
        <v>2105</v>
      </c>
      <c r="DJ2" s="1">
        <f t="shared" ref="DJ2" si="78">DI2+1</f>
        <v>2106</v>
      </c>
      <c r="DK2" s="1">
        <f t="shared" ref="DK2" si="79">DJ2+1</f>
        <v>2107</v>
      </c>
      <c r="DL2" s="1">
        <f t="shared" ref="DL2" si="80">DK2+1</f>
        <v>2108</v>
      </c>
      <c r="DM2" s="1">
        <f t="shared" ref="DM2" si="81">DL2+1</f>
        <v>2109</v>
      </c>
      <c r="DN2" s="1">
        <f t="shared" ref="DN2" si="82">DM2+1</f>
        <v>2110</v>
      </c>
      <c r="DO2" s="1">
        <f t="shared" ref="DO2" si="83">DN2+1</f>
        <v>2111</v>
      </c>
      <c r="DP2" s="1">
        <f t="shared" ref="DP2" si="84">DO2+1</f>
        <v>2112</v>
      </c>
      <c r="DQ2" s="1">
        <f t="shared" ref="DQ2" si="85">DP2+1</f>
        <v>2113</v>
      </c>
      <c r="DR2" s="1">
        <f t="shared" ref="DR2" si="86">DQ2+1</f>
        <v>2114</v>
      </c>
      <c r="DS2" s="1">
        <f t="shared" ref="DS2" si="87">DR2+1</f>
        <v>2115</v>
      </c>
      <c r="DT2" s="1">
        <f t="shared" ref="DT2" si="88">DS2+1</f>
        <v>2116</v>
      </c>
      <c r="DU2" s="1">
        <f t="shared" ref="DU2" si="89">DT2+1</f>
        <v>2117</v>
      </c>
      <c r="DV2" s="1">
        <f t="shared" ref="DV2" si="90">DU2+1</f>
        <v>2118</v>
      </c>
      <c r="DW2" s="1">
        <f t="shared" ref="DW2" si="91">DV2+1</f>
        <v>2119</v>
      </c>
      <c r="DX2" s="1">
        <f t="shared" ref="DX2" si="92">DW2+1</f>
        <v>2120</v>
      </c>
      <c r="DY2" s="1">
        <f t="shared" ref="DY2" si="93">DX2+1</f>
        <v>2121</v>
      </c>
      <c r="DZ2" s="1">
        <f t="shared" ref="DZ2" si="94">DY2+1</f>
        <v>2122</v>
      </c>
      <c r="EA2" s="1">
        <f t="shared" ref="EA2" si="95">DZ2+1</f>
        <v>2123</v>
      </c>
      <c r="EB2" s="1">
        <f t="shared" ref="EB2" si="96">EA2+1</f>
        <v>2124</v>
      </c>
      <c r="EC2" s="1">
        <f t="shared" ref="EC2" si="97">EB2+1</f>
        <v>2125</v>
      </c>
      <c r="ED2" s="1">
        <f t="shared" ref="ED2" si="98">EC2+1</f>
        <v>2126</v>
      </c>
      <c r="EE2" s="1">
        <f t="shared" ref="EE2" si="99">ED2+1</f>
        <v>2127</v>
      </c>
      <c r="EF2" s="1" t="s">
        <v>25</v>
      </c>
    </row>
    <row r="3" spans="1:136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EF3" s="1" t="s">
        <v>25</v>
      </c>
    </row>
    <row r="4" spans="1:136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EF4" s="1" t="s">
        <v>25</v>
      </c>
    </row>
    <row r="5" spans="1:136" x14ac:dyDescent="0.25">
      <c r="B5" s="1" t="s">
        <v>131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>
        <v>6500</v>
      </c>
      <c r="AI5" s="2">
        <v>6500</v>
      </c>
      <c r="AJ5" s="2">
        <v>6500</v>
      </c>
      <c r="AK5" s="2">
        <v>6500</v>
      </c>
      <c r="AL5" s="2">
        <v>6500</v>
      </c>
      <c r="AM5" s="2">
        <v>6500</v>
      </c>
      <c r="AN5" s="2">
        <v>6500</v>
      </c>
      <c r="AO5" s="2">
        <v>6500</v>
      </c>
      <c r="AP5" s="2">
        <v>6500</v>
      </c>
      <c r="AQ5" s="2">
        <v>6500</v>
      </c>
      <c r="AR5" s="2">
        <v>6500</v>
      </c>
      <c r="AS5" s="2">
        <v>6500</v>
      </c>
      <c r="AT5" s="2">
        <v>6500</v>
      </c>
      <c r="AU5" s="2">
        <v>6500</v>
      </c>
      <c r="AV5" s="2">
        <v>6500</v>
      </c>
      <c r="AW5" s="2">
        <v>6500</v>
      </c>
      <c r="AX5" s="2">
        <v>6500</v>
      </c>
      <c r="AY5" s="2">
        <v>6500</v>
      </c>
      <c r="AZ5" s="2">
        <v>6500</v>
      </c>
      <c r="BA5" s="2">
        <v>6500</v>
      </c>
      <c r="BB5" s="2">
        <v>6500</v>
      </c>
      <c r="BC5" s="2">
        <v>6500</v>
      </c>
      <c r="BD5" s="2">
        <v>6500</v>
      </c>
      <c r="BE5" s="2">
        <v>6500</v>
      </c>
      <c r="BF5" s="2">
        <v>6500</v>
      </c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EF5" s="1" t="s">
        <v>25</v>
      </c>
    </row>
    <row r="6" spans="1:136" s="25" customFormat="1" x14ac:dyDescent="0.25">
      <c r="B6" s="25" t="s">
        <v>132</v>
      </c>
      <c r="AI6" s="25">
        <v>0.2</v>
      </c>
      <c r="AJ6" s="25">
        <f>+AI6*1.03</f>
        <v>0.20600000000000002</v>
      </c>
      <c r="AK6" s="25">
        <f t="shared" ref="AK6:BB6" si="100">+AJ6*1.03</f>
        <v>0.21218000000000004</v>
      </c>
      <c r="AL6" s="25">
        <f t="shared" si="100"/>
        <v>0.21854540000000003</v>
      </c>
      <c r="AM6" s="25">
        <f t="shared" si="100"/>
        <v>0.22510176200000004</v>
      </c>
      <c r="AN6" s="25">
        <f t="shared" si="100"/>
        <v>0.23185481486000004</v>
      </c>
      <c r="AO6" s="25">
        <f t="shared" si="100"/>
        <v>0.23881045930580005</v>
      </c>
      <c r="AP6" s="25">
        <f t="shared" si="100"/>
        <v>0.24597477308497406</v>
      </c>
      <c r="AQ6" s="25">
        <f t="shared" si="100"/>
        <v>0.2533540162775233</v>
      </c>
      <c r="AR6" s="25">
        <f t="shared" si="100"/>
        <v>0.26095463676584901</v>
      </c>
      <c r="AS6" s="25">
        <f t="shared" si="100"/>
        <v>0.2687832758688245</v>
      </c>
      <c r="AT6" s="25">
        <f t="shared" si="100"/>
        <v>0.27684677414488923</v>
      </c>
      <c r="AU6" s="25">
        <f t="shared" si="100"/>
        <v>0.28515217736923593</v>
      </c>
      <c r="AV6" s="25">
        <f t="shared" si="100"/>
        <v>0.29370674269031299</v>
      </c>
      <c r="AW6" s="25">
        <f t="shared" si="100"/>
        <v>0.30251794497102241</v>
      </c>
      <c r="AX6" s="25">
        <f t="shared" si="100"/>
        <v>0.31159348332015308</v>
      </c>
      <c r="AY6" s="25">
        <f t="shared" si="100"/>
        <v>0.32094128781975767</v>
      </c>
      <c r="AZ6" s="25">
        <f t="shared" si="100"/>
        <v>0.33056952645435039</v>
      </c>
      <c r="BA6" s="25">
        <f t="shared" si="100"/>
        <v>0.34048661224798094</v>
      </c>
      <c r="BB6" s="25">
        <f t="shared" si="100"/>
        <v>0.35070121061542037</v>
      </c>
    </row>
    <row r="7" spans="1:136" x14ac:dyDescent="0.25">
      <c r="B7" s="1" t="s">
        <v>133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>
        <f>+AI6*AI5</f>
        <v>1300</v>
      </c>
      <c r="AJ7" s="2">
        <f t="shared" ref="AJ7:BB7" si="101">+AJ6*AJ5</f>
        <v>1339</v>
      </c>
      <c r="AK7" s="2">
        <f t="shared" si="101"/>
        <v>1379.1700000000003</v>
      </c>
      <c r="AL7" s="2">
        <f t="shared" si="101"/>
        <v>1420.5451000000003</v>
      </c>
      <c r="AM7" s="2">
        <f t="shared" si="101"/>
        <v>1463.1614530000002</v>
      </c>
      <c r="AN7" s="2">
        <f t="shared" si="101"/>
        <v>1507.0562965900003</v>
      </c>
      <c r="AO7" s="2">
        <f t="shared" si="101"/>
        <v>1552.2679854877003</v>
      </c>
      <c r="AP7" s="2">
        <f t="shared" si="101"/>
        <v>1598.8360250523315</v>
      </c>
      <c r="AQ7" s="2">
        <f t="shared" si="101"/>
        <v>1646.8011058039015</v>
      </c>
      <c r="AR7" s="2">
        <f t="shared" si="101"/>
        <v>1696.2051389780186</v>
      </c>
      <c r="AS7" s="2">
        <f t="shared" si="101"/>
        <v>1747.0912931473592</v>
      </c>
      <c r="AT7" s="2">
        <f t="shared" si="101"/>
        <v>1799.5040319417799</v>
      </c>
      <c r="AU7" s="2">
        <f t="shared" si="101"/>
        <v>1853.4891529000336</v>
      </c>
      <c r="AV7" s="2">
        <f t="shared" si="101"/>
        <v>1909.0938274870346</v>
      </c>
      <c r="AW7" s="2">
        <f t="shared" si="101"/>
        <v>1966.3666423116456</v>
      </c>
      <c r="AX7" s="2">
        <f t="shared" si="101"/>
        <v>2025.3576415809951</v>
      </c>
      <c r="AY7" s="2">
        <f t="shared" si="101"/>
        <v>2086.1183708284248</v>
      </c>
      <c r="AZ7" s="2">
        <f t="shared" si="101"/>
        <v>2148.7019219532776</v>
      </c>
      <c r="BA7" s="2">
        <f t="shared" si="101"/>
        <v>2213.1629796118759</v>
      </c>
      <c r="BB7" s="2">
        <f t="shared" si="101"/>
        <v>2279.5578690002326</v>
      </c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136" s="24" customFormat="1" x14ac:dyDescent="0.25">
      <c r="B8" s="24" t="s">
        <v>134</v>
      </c>
      <c r="AI8" s="24">
        <v>0.1</v>
      </c>
      <c r="AJ8" s="24">
        <f>+AI8+0.2</f>
        <v>0.30000000000000004</v>
      </c>
      <c r="AK8" s="24">
        <f t="shared" ref="AK8:AM8" si="102">+AJ8+0.2</f>
        <v>0.5</v>
      </c>
      <c r="AL8" s="24">
        <f t="shared" si="102"/>
        <v>0.7</v>
      </c>
      <c r="AM8" s="24">
        <f t="shared" si="102"/>
        <v>0.89999999999999991</v>
      </c>
      <c r="AN8" s="24">
        <v>0.95</v>
      </c>
      <c r="AO8" s="24">
        <v>0.95</v>
      </c>
      <c r="AP8" s="24">
        <v>0.95</v>
      </c>
      <c r="AQ8" s="24">
        <v>0.95</v>
      </c>
      <c r="AR8" s="24">
        <v>0.95</v>
      </c>
      <c r="AS8" s="24">
        <v>0.95</v>
      </c>
      <c r="AT8" s="24">
        <v>0.95</v>
      </c>
      <c r="AU8" s="24">
        <v>0.95</v>
      </c>
      <c r="AV8" s="24">
        <v>0.95</v>
      </c>
      <c r="AW8" s="24">
        <v>0.95</v>
      </c>
      <c r="AX8" s="24">
        <v>0.95</v>
      </c>
      <c r="AY8" s="24">
        <v>0.95</v>
      </c>
      <c r="AZ8" s="24">
        <v>0.95</v>
      </c>
      <c r="BA8" s="24">
        <v>0.95</v>
      </c>
      <c r="BB8" s="24">
        <v>0.95</v>
      </c>
    </row>
    <row r="9" spans="1:136" s="24" customFormat="1" x14ac:dyDescent="0.25"/>
    <row r="10" spans="1:136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EF10" s="1" t="s">
        <v>25</v>
      </c>
    </row>
    <row r="11" spans="1:136" x14ac:dyDescent="0.25">
      <c r="B11" s="1" t="s">
        <v>136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>
        <v>27500</v>
      </c>
      <c r="AJ11" s="2">
        <v>27500</v>
      </c>
      <c r="AK11" s="2">
        <v>27500</v>
      </c>
      <c r="AL11" s="2">
        <v>27500</v>
      </c>
      <c r="AM11" s="2">
        <v>27500</v>
      </c>
      <c r="AN11" s="2">
        <v>27500</v>
      </c>
      <c r="AO11" s="2">
        <v>27500</v>
      </c>
      <c r="AP11" s="2">
        <v>27500</v>
      </c>
      <c r="AQ11" s="2">
        <v>27500</v>
      </c>
      <c r="AR11" s="2">
        <v>27500</v>
      </c>
      <c r="AS11" s="2">
        <v>27500</v>
      </c>
      <c r="AT11" s="2">
        <v>27500</v>
      </c>
      <c r="AU11" s="2">
        <v>27500</v>
      </c>
      <c r="AV11" s="2">
        <v>27500</v>
      </c>
      <c r="AW11" s="2">
        <v>27500</v>
      </c>
      <c r="AX11" s="2">
        <v>27500</v>
      </c>
      <c r="AY11" s="2">
        <v>27500</v>
      </c>
      <c r="AZ11" s="2">
        <v>27500</v>
      </c>
      <c r="BA11" s="2">
        <v>27500</v>
      </c>
      <c r="BB11" s="2">
        <v>27500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136" s="25" customFormat="1" x14ac:dyDescent="0.25">
      <c r="B12" s="25" t="s">
        <v>137</v>
      </c>
      <c r="AI12" s="25">
        <v>0.35</v>
      </c>
      <c r="AJ12" s="25">
        <f>+AI12*1.03</f>
        <v>0.36049999999999999</v>
      </c>
      <c r="AK12" s="25">
        <f t="shared" ref="AK12:BB12" si="103">+AJ12*1.03</f>
        <v>0.37131500000000001</v>
      </c>
      <c r="AL12" s="25">
        <f t="shared" si="103"/>
        <v>0.38245445</v>
      </c>
      <c r="AM12" s="25">
        <f t="shared" si="103"/>
        <v>0.39392808350000003</v>
      </c>
      <c r="AN12" s="25">
        <f t="shared" si="103"/>
        <v>0.40574592600500003</v>
      </c>
      <c r="AO12" s="25">
        <f t="shared" si="103"/>
        <v>0.41791830378515005</v>
      </c>
      <c r="AP12" s="25">
        <f t="shared" si="103"/>
        <v>0.43045585289870458</v>
      </c>
      <c r="AQ12" s="25">
        <f t="shared" si="103"/>
        <v>0.44336952848566574</v>
      </c>
      <c r="AR12" s="25">
        <f t="shared" si="103"/>
        <v>0.4566706143402357</v>
      </c>
      <c r="AS12" s="25">
        <f t="shared" si="103"/>
        <v>0.47037073277044278</v>
      </c>
      <c r="AT12" s="25">
        <f t="shared" si="103"/>
        <v>0.4844818547535561</v>
      </c>
      <c r="AU12" s="25">
        <f t="shared" si="103"/>
        <v>0.49901631039616279</v>
      </c>
      <c r="AV12" s="25">
        <f t="shared" si="103"/>
        <v>0.51398679970804773</v>
      </c>
      <c r="AW12" s="25">
        <f t="shared" si="103"/>
        <v>0.52940640369928915</v>
      </c>
      <c r="AX12" s="25">
        <f t="shared" si="103"/>
        <v>0.5452885958102679</v>
      </c>
      <c r="AY12" s="25">
        <f t="shared" si="103"/>
        <v>0.56164725368457591</v>
      </c>
      <c r="AZ12" s="25">
        <f t="shared" si="103"/>
        <v>0.57849667129511317</v>
      </c>
      <c r="BA12" s="25">
        <f t="shared" si="103"/>
        <v>0.59585157143396661</v>
      </c>
      <c r="BB12" s="25">
        <f t="shared" si="103"/>
        <v>0.61372711857698559</v>
      </c>
    </row>
    <row r="13" spans="1:136" x14ac:dyDescent="0.25">
      <c r="B13" s="1" t="s">
        <v>133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>
        <f>+AI12*AI11</f>
        <v>9625</v>
      </c>
      <c r="AJ13" s="2">
        <f t="shared" ref="AJ13:BB13" si="104">+AJ12*AJ11</f>
        <v>9913.75</v>
      </c>
      <c r="AK13" s="2">
        <f t="shared" si="104"/>
        <v>10211.1625</v>
      </c>
      <c r="AL13" s="2">
        <f t="shared" si="104"/>
        <v>10517.497375000001</v>
      </c>
      <c r="AM13" s="2">
        <f t="shared" si="104"/>
        <v>10833.022296250001</v>
      </c>
      <c r="AN13" s="2">
        <f t="shared" si="104"/>
        <v>11158.012965137501</v>
      </c>
      <c r="AO13" s="2">
        <f t="shared" si="104"/>
        <v>11492.753354091627</v>
      </c>
      <c r="AP13" s="2">
        <f t="shared" si="104"/>
        <v>11837.535954714376</v>
      </c>
      <c r="AQ13" s="2">
        <f t="shared" si="104"/>
        <v>12192.662033355808</v>
      </c>
      <c r="AR13" s="2">
        <f t="shared" si="104"/>
        <v>12558.441894356481</v>
      </c>
      <c r="AS13" s="2">
        <f t="shared" si="104"/>
        <v>12935.195151187176</v>
      </c>
      <c r="AT13" s="2">
        <f t="shared" si="104"/>
        <v>13323.251005722792</v>
      </c>
      <c r="AU13" s="2">
        <f t="shared" si="104"/>
        <v>13722.948535894477</v>
      </c>
      <c r="AV13" s="2">
        <f t="shared" si="104"/>
        <v>14134.636991971312</v>
      </c>
      <c r="AW13" s="2">
        <f t="shared" si="104"/>
        <v>14558.676101730453</v>
      </c>
      <c r="AX13" s="2">
        <f t="shared" si="104"/>
        <v>14995.436384782368</v>
      </c>
      <c r="AY13" s="2">
        <f t="shared" si="104"/>
        <v>15445.299476325838</v>
      </c>
      <c r="AZ13" s="2">
        <f t="shared" si="104"/>
        <v>15908.658460615612</v>
      </c>
      <c r="BA13" s="2">
        <f t="shared" si="104"/>
        <v>16385.918214434081</v>
      </c>
      <c r="BB13" s="2">
        <f t="shared" si="104"/>
        <v>16877.495760867103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136" x14ac:dyDescent="0.25">
      <c r="B14" s="1" t="s">
        <v>134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4">
        <v>0.1</v>
      </c>
      <c r="AJ14" s="24">
        <f>+AI14+0.2</f>
        <v>0.30000000000000004</v>
      </c>
      <c r="AK14" s="24">
        <f t="shared" ref="AK14:AM14" si="105">+AJ14+0.2</f>
        <v>0.5</v>
      </c>
      <c r="AL14" s="24">
        <f t="shared" si="105"/>
        <v>0.7</v>
      </c>
      <c r="AM14" s="24">
        <f t="shared" si="105"/>
        <v>0.89999999999999991</v>
      </c>
      <c r="AN14" s="24">
        <v>0.95</v>
      </c>
      <c r="AO14" s="24">
        <v>0.95</v>
      </c>
      <c r="AP14" s="24">
        <v>0.95</v>
      </c>
      <c r="AQ14" s="24">
        <v>0.95</v>
      </c>
      <c r="AR14" s="24">
        <v>0.95</v>
      </c>
      <c r="AS14" s="24">
        <v>0.95</v>
      </c>
      <c r="AT14" s="24">
        <v>0.95</v>
      </c>
      <c r="AU14" s="24">
        <v>0.95</v>
      </c>
      <c r="AV14" s="24">
        <v>0.95</v>
      </c>
      <c r="AW14" s="24">
        <v>0.95</v>
      </c>
      <c r="AX14" s="24">
        <v>0.95</v>
      </c>
      <c r="AY14" s="24">
        <v>0.95</v>
      </c>
      <c r="AZ14" s="24">
        <v>0.95</v>
      </c>
      <c r="BA14" s="24">
        <v>0.95</v>
      </c>
      <c r="BB14" s="24">
        <v>0.95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EF14" s="1" t="s">
        <v>25</v>
      </c>
    </row>
    <row r="15" spans="1:136" x14ac:dyDescent="0.2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136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2:136" x14ac:dyDescent="0.25">
      <c r="B17" s="1" t="s">
        <v>121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>
        <f>+AI8*AI7</f>
        <v>130</v>
      </c>
      <c r="AJ17" s="2">
        <f t="shared" ref="AJ17:BB17" si="106">+AJ8*AJ7</f>
        <v>401.70000000000005</v>
      </c>
      <c r="AK17" s="2">
        <f t="shared" si="106"/>
        <v>689.58500000000015</v>
      </c>
      <c r="AL17" s="2">
        <f t="shared" si="106"/>
        <v>994.38157000000012</v>
      </c>
      <c r="AM17" s="2">
        <f t="shared" si="106"/>
        <v>1316.8453076999999</v>
      </c>
      <c r="AN17" s="2">
        <f t="shared" si="106"/>
        <v>1431.7034817605002</v>
      </c>
      <c r="AO17" s="2">
        <f t="shared" si="106"/>
        <v>1474.6545862133153</v>
      </c>
      <c r="AP17" s="2">
        <f t="shared" si="106"/>
        <v>1518.8942237997148</v>
      </c>
      <c r="AQ17" s="2">
        <f t="shared" si="106"/>
        <v>1564.4610505137064</v>
      </c>
      <c r="AR17" s="2">
        <f t="shared" si="106"/>
        <v>1611.3948820291175</v>
      </c>
      <c r="AS17" s="2">
        <f t="shared" si="106"/>
        <v>1659.7367284899913</v>
      </c>
      <c r="AT17" s="2">
        <f t="shared" si="106"/>
        <v>1709.5288303446907</v>
      </c>
      <c r="AU17" s="2">
        <f t="shared" si="106"/>
        <v>1760.8146952550319</v>
      </c>
      <c r="AV17" s="2">
        <f t="shared" si="106"/>
        <v>1813.6391361126828</v>
      </c>
      <c r="AW17" s="2">
        <f t="shared" si="106"/>
        <v>1868.0483101960633</v>
      </c>
      <c r="AX17" s="2">
        <f t="shared" si="106"/>
        <v>1924.0897595019453</v>
      </c>
      <c r="AY17" s="2">
        <f t="shared" si="106"/>
        <v>1981.8124522870035</v>
      </c>
      <c r="AZ17" s="2">
        <f t="shared" si="106"/>
        <v>2041.2668258556137</v>
      </c>
      <c r="BA17" s="2">
        <f t="shared" si="106"/>
        <v>2102.5048306312819</v>
      </c>
      <c r="BB17" s="2">
        <f t="shared" si="106"/>
        <v>2165.5799755502208</v>
      </c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EF17" s="1" t="s">
        <v>25</v>
      </c>
    </row>
    <row r="18" spans="2:136" x14ac:dyDescent="0.25">
      <c r="B18" s="1" t="s">
        <v>122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>
        <f>+AI14*AI13</f>
        <v>962.5</v>
      </c>
      <c r="AJ18" s="2">
        <f t="shared" ref="AJ18:BB18" si="107">+AJ14*AJ13</f>
        <v>2974.1250000000005</v>
      </c>
      <c r="AK18" s="2">
        <f t="shared" si="107"/>
        <v>5105.5812500000002</v>
      </c>
      <c r="AL18" s="2">
        <f t="shared" si="107"/>
        <v>7362.2481625</v>
      </c>
      <c r="AM18" s="2">
        <f t="shared" si="107"/>
        <v>9749.7200666249992</v>
      </c>
      <c r="AN18" s="2">
        <f t="shared" si="107"/>
        <v>10600.112316880626</v>
      </c>
      <c r="AO18" s="2">
        <f t="shared" si="107"/>
        <v>10918.115686387046</v>
      </c>
      <c r="AP18" s="2">
        <f t="shared" si="107"/>
        <v>11245.659156978656</v>
      </c>
      <c r="AQ18" s="2">
        <f t="shared" si="107"/>
        <v>11583.028931688017</v>
      </c>
      <c r="AR18" s="2">
        <f t="shared" si="107"/>
        <v>11930.519799638656</v>
      </c>
      <c r="AS18" s="2">
        <f t="shared" si="107"/>
        <v>12288.435393627817</v>
      </c>
      <c r="AT18" s="2">
        <f t="shared" si="107"/>
        <v>12657.088455436651</v>
      </c>
      <c r="AU18" s="2">
        <f t="shared" si="107"/>
        <v>13036.801109099752</v>
      </c>
      <c r="AV18" s="2">
        <f t="shared" si="107"/>
        <v>13427.905142372747</v>
      </c>
      <c r="AW18" s="2">
        <f t="shared" si="107"/>
        <v>13830.74229664393</v>
      </c>
      <c r="AX18" s="2">
        <f t="shared" si="107"/>
        <v>14245.664565543249</v>
      </c>
      <c r="AY18" s="2">
        <f t="shared" si="107"/>
        <v>14673.034502509545</v>
      </c>
      <c r="AZ18" s="2">
        <f t="shared" si="107"/>
        <v>15113.225537584831</v>
      </c>
      <c r="BA18" s="2">
        <f t="shared" si="107"/>
        <v>15566.622303712376</v>
      </c>
      <c r="BB18" s="2">
        <f t="shared" si="107"/>
        <v>16033.620972823746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EF18" s="1" t="s">
        <v>25</v>
      </c>
    </row>
    <row r="19" spans="2:136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EF19" s="1" t="s">
        <v>25</v>
      </c>
    </row>
    <row r="20" spans="2:136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EF20" s="1" t="s">
        <v>25</v>
      </c>
    </row>
    <row r="21" spans="2:136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EF21" s="1" t="s">
        <v>25</v>
      </c>
    </row>
    <row r="22" spans="2:136" s="19" customFormat="1" x14ac:dyDescent="0.25">
      <c r="B22" s="19" t="s">
        <v>123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135</v>
      </c>
      <c r="AI22" s="23">
        <f>+SUM(AI17:AI18)</f>
        <v>1092.5</v>
      </c>
      <c r="AJ22" s="23">
        <f t="shared" ref="AJ22:BB22" si="108">+SUM(AJ17:AJ18)</f>
        <v>3375.8250000000007</v>
      </c>
      <c r="AK22" s="23">
        <f t="shared" si="108"/>
        <v>5795.1662500000002</v>
      </c>
      <c r="AL22" s="23">
        <f t="shared" si="108"/>
        <v>8356.6297324999996</v>
      </c>
      <c r="AM22" s="23">
        <f t="shared" si="108"/>
        <v>11066.565374324999</v>
      </c>
      <c r="AN22" s="23">
        <f t="shared" si="108"/>
        <v>12031.815798641126</v>
      </c>
      <c r="AO22" s="23">
        <f t="shared" si="108"/>
        <v>12392.770272600361</v>
      </c>
      <c r="AP22" s="23">
        <f t="shared" si="108"/>
        <v>12764.55338077837</v>
      </c>
      <c r="AQ22" s="23">
        <f t="shared" si="108"/>
        <v>13147.489982201723</v>
      </c>
      <c r="AR22" s="23">
        <f t="shared" si="108"/>
        <v>13541.914681667773</v>
      </c>
      <c r="AS22" s="23">
        <f t="shared" si="108"/>
        <v>13948.172122117809</v>
      </c>
      <c r="AT22" s="23">
        <f t="shared" si="108"/>
        <v>14366.617285781342</v>
      </c>
      <c r="AU22" s="23">
        <f t="shared" si="108"/>
        <v>14797.615804354784</v>
      </c>
      <c r="AV22" s="23">
        <f t="shared" si="108"/>
        <v>15241.544278485429</v>
      </c>
      <c r="AW22" s="23">
        <f t="shared" si="108"/>
        <v>15698.790606839993</v>
      </c>
      <c r="AX22" s="23">
        <f t="shared" si="108"/>
        <v>16169.754325045194</v>
      </c>
      <c r="AY22" s="23">
        <f t="shared" si="108"/>
        <v>16654.846954796547</v>
      </c>
      <c r="AZ22" s="23">
        <f t="shared" si="108"/>
        <v>17154.492363440444</v>
      </c>
      <c r="BA22" s="23">
        <f t="shared" si="108"/>
        <v>17669.12713434366</v>
      </c>
      <c r="BB22" s="23">
        <f t="shared" si="108"/>
        <v>18199.200948373968</v>
      </c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EF22" s="19" t="s">
        <v>25</v>
      </c>
    </row>
    <row r="23" spans="2:136" x14ac:dyDescent="0.25">
      <c r="B23" s="1" t="s">
        <v>124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>
        <f>+AI22-AI24</f>
        <v>109.25</v>
      </c>
      <c r="AJ23" s="2">
        <f t="shared" ref="AJ23:BB23" si="109">+AJ22-AJ24</f>
        <v>337.58249999999998</v>
      </c>
      <c r="AK23" s="2">
        <f t="shared" si="109"/>
        <v>579.5166250000002</v>
      </c>
      <c r="AL23" s="2">
        <f t="shared" si="109"/>
        <v>835.6629732499996</v>
      </c>
      <c r="AM23" s="2">
        <f t="shared" si="109"/>
        <v>1106.6565374325</v>
      </c>
      <c r="AN23" s="2">
        <f t="shared" si="109"/>
        <v>1203.1815798641128</v>
      </c>
      <c r="AO23" s="2">
        <f t="shared" si="109"/>
        <v>1239.2770272600355</v>
      </c>
      <c r="AP23" s="2">
        <f t="shared" si="109"/>
        <v>1276.4553380778361</v>
      </c>
      <c r="AQ23" s="2">
        <f t="shared" si="109"/>
        <v>1314.7489982201714</v>
      </c>
      <c r="AR23" s="2">
        <f t="shared" si="109"/>
        <v>1354.1914681667768</v>
      </c>
      <c r="AS23" s="2">
        <f t="shared" si="109"/>
        <v>1394.8172122117812</v>
      </c>
      <c r="AT23" s="2">
        <f t="shared" si="109"/>
        <v>1436.661728578134</v>
      </c>
      <c r="AU23" s="2">
        <f t="shared" si="109"/>
        <v>1479.7615804354773</v>
      </c>
      <c r="AV23" s="2">
        <f t="shared" si="109"/>
        <v>1524.1544278485435</v>
      </c>
      <c r="AW23" s="2">
        <f t="shared" si="109"/>
        <v>1569.8790606839993</v>
      </c>
      <c r="AX23" s="2">
        <f t="shared" si="109"/>
        <v>1616.9754325045196</v>
      </c>
      <c r="AY23" s="2">
        <f t="shared" si="109"/>
        <v>1665.484695479654</v>
      </c>
      <c r="AZ23" s="2">
        <f t="shared" si="109"/>
        <v>1715.449236344044</v>
      </c>
      <c r="BA23" s="2">
        <f t="shared" si="109"/>
        <v>1766.9127134343653</v>
      </c>
      <c r="BB23" s="2">
        <f t="shared" si="109"/>
        <v>1819.9200948373964</v>
      </c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EF23" s="1" t="s">
        <v>25</v>
      </c>
    </row>
    <row r="24" spans="2:136" x14ac:dyDescent="0.25">
      <c r="B24" s="1" t="s">
        <v>125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>
        <f>+AI22*AI38</f>
        <v>983.25</v>
      </c>
      <c r="AJ24" s="2">
        <f t="shared" ref="AJ24:BB24" si="110">+AJ22*AJ38</f>
        <v>3038.2425000000007</v>
      </c>
      <c r="AK24" s="2">
        <f t="shared" si="110"/>
        <v>5215.649625</v>
      </c>
      <c r="AL24" s="2">
        <f t="shared" si="110"/>
        <v>7520.96675925</v>
      </c>
      <c r="AM24" s="2">
        <f t="shared" si="110"/>
        <v>9959.9088368924986</v>
      </c>
      <c r="AN24" s="2">
        <f t="shared" si="110"/>
        <v>10828.634218777013</v>
      </c>
      <c r="AO24" s="2">
        <f t="shared" si="110"/>
        <v>11153.493245340325</v>
      </c>
      <c r="AP24" s="2">
        <f t="shared" si="110"/>
        <v>11488.098042700534</v>
      </c>
      <c r="AQ24" s="2">
        <f t="shared" si="110"/>
        <v>11832.740983981552</v>
      </c>
      <c r="AR24" s="2">
        <f t="shared" si="110"/>
        <v>12187.723213500996</v>
      </c>
      <c r="AS24" s="2">
        <f t="shared" si="110"/>
        <v>12553.354909906027</v>
      </c>
      <c r="AT24" s="2">
        <f t="shared" si="110"/>
        <v>12929.955557203208</v>
      </c>
      <c r="AU24" s="2">
        <f t="shared" si="110"/>
        <v>13317.854223919307</v>
      </c>
      <c r="AV24" s="2">
        <f t="shared" si="110"/>
        <v>13717.389850636886</v>
      </c>
      <c r="AW24" s="2">
        <f t="shared" si="110"/>
        <v>14128.911546155994</v>
      </c>
      <c r="AX24" s="2">
        <f t="shared" si="110"/>
        <v>14552.778892540675</v>
      </c>
      <c r="AY24" s="2">
        <f t="shared" si="110"/>
        <v>14989.362259316893</v>
      </c>
      <c r="AZ24" s="2">
        <f t="shared" si="110"/>
        <v>15439.0431270964</v>
      </c>
      <c r="BA24" s="2">
        <f t="shared" si="110"/>
        <v>15902.214420909295</v>
      </c>
      <c r="BB24" s="2">
        <f t="shared" si="110"/>
        <v>16379.280853536571</v>
      </c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EF24" s="1" t="s">
        <v>25</v>
      </c>
    </row>
    <row r="25" spans="2:136" x14ac:dyDescent="0.25">
      <c r="B25" s="1" t="s">
        <v>138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>
        <f>+AI24-AI27-AI26</f>
        <v>441.625</v>
      </c>
      <c r="AJ25" s="2">
        <f>+AJ24-AJ27-AJ26</f>
        <v>1467.6212500000004</v>
      </c>
      <c r="AK25" s="2">
        <f t="shared" ref="AK25:BB25" si="111">+AK24-AK27-AK26</f>
        <v>2554.7798124999999</v>
      </c>
      <c r="AL25" s="2">
        <f t="shared" si="111"/>
        <v>3705.8470296249998</v>
      </c>
      <c r="AM25" s="2">
        <f t="shared" si="111"/>
        <v>4923.6789779462497</v>
      </c>
      <c r="AN25" s="2">
        <f t="shared" si="111"/>
        <v>5356.353405673507</v>
      </c>
      <c r="AO25" s="2">
        <f t="shared" si="111"/>
        <v>5517.0440078437123</v>
      </c>
      <c r="AP25" s="2">
        <f t="shared" si="111"/>
        <v>5682.5553280790236</v>
      </c>
      <c r="AQ25" s="2">
        <f t="shared" si="111"/>
        <v>5853.0319879213948</v>
      </c>
      <c r="AR25" s="2">
        <f t="shared" si="111"/>
        <v>6028.6229475590362</v>
      </c>
      <c r="AS25" s="2">
        <f t="shared" si="111"/>
        <v>6209.4816359858078</v>
      </c>
      <c r="AT25" s="2">
        <f t="shared" si="111"/>
        <v>6395.766085065382</v>
      </c>
      <c r="AU25" s="2">
        <f t="shared" si="111"/>
        <v>6587.6390676173442</v>
      </c>
      <c r="AV25" s="2">
        <f t="shared" si="111"/>
        <v>6785.2682396458649</v>
      </c>
      <c r="AW25" s="2">
        <f t="shared" si="111"/>
        <v>6988.8262868352413</v>
      </c>
      <c r="AX25" s="2">
        <f t="shared" si="111"/>
        <v>7198.491075440299</v>
      </c>
      <c r="AY25" s="2">
        <f t="shared" si="111"/>
        <v>7414.4458077035069</v>
      </c>
      <c r="AZ25" s="2">
        <f t="shared" si="111"/>
        <v>7636.8791819346125</v>
      </c>
      <c r="BA25" s="2">
        <f t="shared" si="111"/>
        <v>7865.9855573926525</v>
      </c>
      <c r="BB25" s="2">
        <f t="shared" si="111"/>
        <v>8101.9651241144302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EF25" s="1" t="s">
        <v>25</v>
      </c>
    </row>
    <row r="26" spans="2:136" x14ac:dyDescent="0.25">
      <c r="B26" s="1" t="s">
        <v>139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>
        <v>50</v>
      </c>
      <c r="AJ26" s="2">
        <f>+AI26*1.03</f>
        <v>51.5</v>
      </c>
      <c r="AK26" s="2">
        <f t="shared" ref="AK26:BB26" si="112">+AJ26*1.03</f>
        <v>53.045000000000002</v>
      </c>
      <c r="AL26" s="2">
        <f t="shared" si="112"/>
        <v>54.63635</v>
      </c>
      <c r="AM26" s="2">
        <f t="shared" si="112"/>
        <v>56.275440500000002</v>
      </c>
      <c r="AN26" s="2">
        <f t="shared" si="112"/>
        <v>57.963703715000001</v>
      </c>
      <c r="AO26" s="2">
        <f t="shared" si="112"/>
        <v>59.702614826450002</v>
      </c>
      <c r="AP26" s="2">
        <f t="shared" si="112"/>
        <v>61.493693271243501</v>
      </c>
      <c r="AQ26" s="2">
        <f t="shared" si="112"/>
        <v>63.338504069380811</v>
      </c>
      <c r="AR26" s="2">
        <f t="shared" si="112"/>
        <v>65.238659191462233</v>
      </c>
      <c r="AS26" s="2">
        <f t="shared" si="112"/>
        <v>67.195818967206108</v>
      </c>
      <c r="AT26" s="2">
        <f t="shared" si="112"/>
        <v>69.211693536222299</v>
      </c>
      <c r="AU26" s="2">
        <f t="shared" si="112"/>
        <v>71.288044342308964</v>
      </c>
      <c r="AV26" s="2">
        <f t="shared" si="112"/>
        <v>73.42668567257823</v>
      </c>
      <c r="AW26" s="2">
        <f t="shared" si="112"/>
        <v>75.629486242755576</v>
      </c>
      <c r="AX26" s="2">
        <f t="shared" si="112"/>
        <v>77.898370830038246</v>
      </c>
      <c r="AY26" s="2">
        <f t="shared" si="112"/>
        <v>80.235321954939394</v>
      </c>
      <c r="AZ26" s="2">
        <f t="shared" si="112"/>
        <v>82.642381613587574</v>
      </c>
      <c r="BA26" s="2">
        <f t="shared" si="112"/>
        <v>85.121653061995204</v>
      </c>
      <c r="BB26" s="2">
        <f t="shared" si="112"/>
        <v>87.675302653855056</v>
      </c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EF26" s="1" t="s">
        <v>25</v>
      </c>
    </row>
    <row r="27" spans="2:136" x14ac:dyDescent="0.25">
      <c r="B27" s="1" t="s">
        <v>140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>
        <f>+AI24*AI39</f>
        <v>491.625</v>
      </c>
      <c r="AJ27" s="2">
        <f>+AJ24*AJ39</f>
        <v>1519.1212500000004</v>
      </c>
      <c r="AK27" s="2">
        <f t="shared" ref="AK27:BB27" si="113">+AK24*AK39</f>
        <v>2607.8248125</v>
      </c>
      <c r="AL27" s="2">
        <f t="shared" si="113"/>
        <v>3760.483379625</v>
      </c>
      <c r="AM27" s="2">
        <f t="shared" si="113"/>
        <v>4979.9544184462493</v>
      </c>
      <c r="AN27" s="2">
        <f t="shared" si="113"/>
        <v>5414.3171093885067</v>
      </c>
      <c r="AO27" s="2">
        <f t="shared" si="113"/>
        <v>5576.7466226701627</v>
      </c>
      <c r="AP27" s="2">
        <f t="shared" si="113"/>
        <v>5744.0490213502671</v>
      </c>
      <c r="AQ27" s="2">
        <f t="shared" si="113"/>
        <v>5916.3704919907759</v>
      </c>
      <c r="AR27" s="2">
        <f t="shared" si="113"/>
        <v>6093.8616067504981</v>
      </c>
      <c r="AS27" s="2">
        <f t="shared" si="113"/>
        <v>6276.6774549530137</v>
      </c>
      <c r="AT27" s="2">
        <f t="shared" si="113"/>
        <v>6464.9777786016039</v>
      </c>
      <c r="AU27" s="2">
        <f t="shared" si="113"/>
        <v>6658.9271119596533</v>
      </c>
      <c r="AV27" s="2">
        <f t="shared" si="113"/>
        <v>6858.694925318443</v>
      </c>
      <c r="AW27" s="2">
        <f t="shared" si="113"/>
        <v>7064.455773077997</v>
      </c>
      <c r="AX27" s="2">
        <f t="shared" si="113"/>
        <v>7276.3894462703374</v>
      </c>
      <c r="AY27" s="2">
        <f t="shared" si="113"/>
        <v>7494.6811296584465</v>
      </c>
      <c r="AZ27" s="2">
        <f t="shared" si="113"/>
        <v>7719.5215635482</v>
      </c>
      <c r="BA27" s="2">
        <f t="shared" si="113"/>
        <v>7951.1072104546474</v>
      </c>
      <c r="BB27" s="2">
        <f t="shared" si="113"/>
        <v>8189.6404267682856</v>
      </c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EF27" s="1" t="s">
        <v>25</v>
      </c>
    </row>
    <row r="28" spans="2:136" x14ac:dyDescent="0.25">
      <c r="B28" s="1" t="s">
        <v>139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>
        <v>20</v>
      </c>
      <c r="AJ28" s="2">
        <f>+AI28*1.03</f>
        <v>20.6</v>
      </c>
      <c r="AK28" s="2">
        <f t="shared" ref="AK28:BB28" si="114">+AJ28*1.03</f>
        <v>21.218000000000004</v>
      </c>
      <c r="AL28" s="2">
        <f t="shared" si="114"/>
        <v>21.854540000000004</v>
      </c>
      <c r="AM28" s="2">
        <f t="shared" si="114"/>
        <v>22.510176200000004</v>
      </c>
      <c r="AN28" s="2">
        <f t="shared" si="114"/>
        <v>23.185481486000004</v>
      </c>
      <c r="AO28" s="2">
        <f t="shared" si="114"/>
        <v>23.881045930580004</v>
      </c>
      <c r="AP28" s="2">
        <f t="shared" si="114"/>
        <v>24.597477308497407</v>
      </c>
      <c r="AQ28" s="2">
        <f t="shared" si="114"/>
        <v>25.335401627752329</v>
      </c>
      <c r="AR28" s="2">
        <f t="shared" si="114"/>
        <v>26.095463676584899</v>
      </c>
      <c r="AS28" s="2">
        <f t="shared" si="114"/>
        <v>26.878327586882445</v>
      </c>
      <c r="AT28" s="2">
        <f t="shared" si="114"/>
        <v>27.68467741448892</v>
      </c>
      <c r="AU28" s="2">
        <f t="shared" si="114"/>
        <v>28.515217736923589</v>
      </c>
      <c r="AV28" s="2">
        <f t="shared" si="114"/>
        <v>29.370674269031298</v>
      </c>
      <c r="AW28" s="2">
        <f t="shared" si="114"/>
        <v>30.251794497102239</v>
      </c>
      <c r="AX28" s="2">
        <f t="shared" si="114"/>
        <v>31.159348332015306</v>
      </c>
      <c r="AY28" s="2">
        <f t="shared" si="114"/>
        <v>32.094128781975769</v>
      </c>
      <c r="AZ28" s="2">
        <f t="shared" si="114"/>
        <v>33.05695264543504</v>
      </c>
      <c r="BA28" s="2">
        <f t="shared" si="114"/>
        <v>34.048661224798089</v>
      </c>
      <c r="BB28" s="2">
        <f t="shared" si="114"/>
        <v>35.070121061542032</v>
      </c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EF28" s="1" t="s">
        <v>25</v>
      </c>
    </row>
    <row r="29" spans="2:136" x14ac:dyDescent="0.25">
      <c r="B29" s="1" t="s">
        <v>141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>
        <f>+AI27-AI28</f>
        <v>471.625</v>
      </c>
      <c r="AJ29" s="2">
        <f>+AJ27-AJ28</f>
        <v>1498.5212500000005</v>
      </c>
      <c r="AK29" s="2">
        <f t="shared" ref="AK29:BB29" si="115">+AK27-AK28</f>
        <v>2586.6068125000002</v>
      </c>
      <c r="AL29" s="2">
        <f t="shared" si="115"/>
        <v>3738.6288396250002</v>
      </c>
      <c r="AM29" s="2">
        <f t="shared" si="115"/>
        <v>4957.4442422462489</v>
      </c>
      <c r="AN29" s="2">
        <f t="shared" si="115"/>
        <v>5391.1316279025068</v>
      </c>
      <c r="AO29" s="2">
        <f t="shared" si="115"/>
        <v>5552.865576739583</v>
      </c>
      <c r="AP29" s="2">
        <f t="shared" si="115"/>
        <v>5719.4515440417699</v>
      </c>
      <c r="AQ29" s="2">
        <f t="shared" si="115"/>
        <v>5891.0350903630233</v>
      </c>
      <c r="AR29" s="2">
        <f t="shared" si="115"/>
        <v>6067.7661430739136</v>
      </c>
      <c r="AS29" s="2">
        <f t="shared" si="115"/>
        <v>6249.799127366131</v>
      </c>
      <c r="AT29" s="2">
        <f t="shared" si="115"/>
        <v>6437.2931011871151</v>
      </c>
      <c r="AU29" s="2">
        <f t="shared" si="115"/>
        <v>6630.4118942227296</v>
      </c>
      <c r="AV29" s="2">
        <f t="shared" si="115"/>
        <v>6829.3242510494119</v>
      </c>
      <c r="AW29" s="2">
        <f t="shared" si="115"/>
        <v>7034.2039785808947</v>
      </c>
      <c r="AX29" s="2">
        <f t="shared" si="115"/>
        <v>7245.2300979383217</v>
      </c>
      <c r="AY29" s="2">
        <f t="shared" si="115"/>
        <v>7462.5870008764705</v>
      </c>
      <c r="AZ29" s="2">
        <f t="shared" si="115"/>
        <v>7686.4646109027653</v>
      </c>
      <c r="BA29" s="2">
        <f t="shared" si="115"/>
        <v>7917.0585492298496</v>
      </c>
      <c r="BB29" s="2">
        <f t="shared" si="115"/>
        <v>8154.570305706744</v>
      </c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EF29" s="1" t="s">
        <v>25</v>
      </c>
    </row>
    <row r="30" spans="2:136" x14ac:dyDescent="0.25">
      <c r="B30" s="1" t="s">
        <v>126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>
        <f>+AI29*AI37</f>
        <v>94.325000000000003</v>
      </c>
      <c r="AJ30" s="2">
        <f t="shared" ref="AJ30:BB30" si="116">+AJ29*AJ37</f>
        <v>299.70425000000012</v>
      </c>
      <c r="AK30" s="2">
        <f t="shared" si="116"/>
        <v>517.32136250000008</v>
      </c>
      <c r="AL30" s="2">
        <f t="shared" si="116"/>
        <v>747.72576792500013</v>
      </c>
      <c r="AM30" s="2">
        <f t="shared" si="116"/>
        <v>991.48884844924987</v>
      </c>
      <c r="AN30" s="2">
        <f t="shared" si="116"/>
        <v>1078.2263255805015</v>
      </c>
      <c r="AO30" s="2">
        <f t="shared" si="116"/>
        <v>1110.5731153479167</v>
      </c>
      <c r="AP30" s="2">
        <f t="shared" si="116"/>
        <v>1143.8903088083541</v>
      </c>
      <c r="AQ30" s="2">
        <f t="shared" si="116"/>
        <v>1178.2070180726048</v>
      </c>
      <c r="AR30" s="2">
        <f t="shared" si="116"/>
        <v>1213.5532286147827</v>
      </c>
      <c r="AS30" s="2">
        <f t="shared" si="116"/>
        <v>1249.9598254732264</v>
      </c>
      <c r="AT30" s="2">
        <f t="shared" si="116"/>
        <v>1287.458620237423</v>
      </c>
      <c r="AU30" s="2">
        <f t="shared" si="116"/>
        <v>1326.0823788445459</v>
      </c>
      <c r="AV30" s="2">
        <f t="shared" si="116"/>
        <v>1365.8648502098824</v>
      </c>
      <c r="AW30" s="2">
        <f t="shared" si="116"/>
        <v>1406.8407957161789</v>
      </c>
      <c r="AX30" s="2">
        <f t="shared" si="116"/>
        <v>1449.0460195876644</v>
      </c>
      <c r="AY30" s="2">
        <f t="shared" si="116"/>
        <v>1492.5174001752941</v>
      </c>
      <c r="AZ30" s="2">
        <f t="shared" si="116"/>
        <v>1537.2929221805532</v>
      </c>
      <c r="BA30" s="2">
        <f t="shared" si="116"/>
        <v>1583.4117098459701</v>
      </c>
      <c r="BB30" s="2">
        <f t="shared" si="116"/>
        <v>1630.9140611413488</v>
      </c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EF30" s="1" t="s">
        <v>25</v>
      </c>
    </row>
    <row r="31" spans="2:136" x14ac:dyDescent="0.25">
      <c r="B31" s="1" t="s">
        <v>142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>
        <v>-500</v>
      </c>
      <c r="AI31" s="2">
        <f>+AI29-AI30</f>
        <v>377.3</v>
      </c>
      <c r="AJ31" s="2">
        <f t="shared" ref="AJ31:BB31" si="117">+AJ29-AJ30</f>
        <v>1198.8170000000005</v>
      </c>
      <c r="AK31" s="2">
        <f t="shared" si="117"/>
        <v>2069.2854500000003</v>
      </c>
      <c r="AL31" s="2">
        <f t="shared" si="117"/>
        <v>2990.9030717000001</v>
      </c>
      <c r="AM31" s="2">
        <f t="shared" si="117"/>
        <v>3965.955393796999</v>
      </c>
      <c r="AN31" s="2">
        <f t="shared" si="117"/>
        <v>4312.9053023220058</v>
      </c>
      <c r="AO31" s="2">
        <f t="shared" si="117"/>
        <v>4442.2924613916666</v>
      </c>
      <c r="AP31" s="2">
        <f t="shared" si="117"/>
        <v>4575.5612352334156</v>
      </c>
      <c r="AQ31" s="2">
        <f t="shared" si="117"/>
        <v>4712.8280722904183</v>
      </c>
      <c r="AR31" s="2">
        <f t="shared" si="117"/>
        <v>4854.2129144591308</v>
      </c>
      <c r="AS31" s="2">
        <f t="shared" si="117"/>
        <v>4999.8393018929046</v>
      </c>
      <c r="AT31" s="2">
        <f t="shared" si="117"/>
        <v>5149.8344809496921</v>
      </c>
      <c r="AU31" s="2">
        <f t="shared" si="117"/>
        <v>5304.3295153781837</v>
      </c>
      <c r="AV31" s="2">
        <f t="shared" si="117"/>
        <v>5463.4594008395297</v>
      </c>
      <c r="AW31" s="2">
        <f t="shared" si="117"/>
        <v>5627.3631828647158</v>
      </c>
      <c r="AX31" s="2">
        <f t="shared" si="117"/>
        <v>5796.1840783506577</v>
      </c>
      <c r="AY31" s="2">
        <f t="shared" si="117"/>
        <v>5970.0696007011766</v>
      </c>
      <c r="AZ31" s="2">
        <f t="shared" si="117"/>
        <v>6149.1716887222119</v>
      </c>
      <c r="BA31" s="2">
        <f t="shared" si="117"/>
        <v>6333.6468393838795</v>
      </c>
      <c r="BB31" s="2">
        <f t="shared" si="117"/>
        <v>6523.6562445653954</v>
      </c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EF31" s="1" t="s">
        <v>25</v>
      </c>
    </row>
    <row r="32" spans="2:136" x14ac:dyDescent="0.25">
      <c r="B32" s="1" t="s">
        <v>143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6">
        <f>+AH31/AH33</f>
        <v>-6.3292809689977254</v>
      </c>
      <c r="AI32" s="26">
        <f>+AI31/AI33</f>
        <v>4.4917781590173993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EF32" s="1" t="s">
        <v>25</v>
      </c>
    </row>
    <row r="33" spans="2:136" x14ac:dyDescent="0.25">
      <c r="B33" s="1" t="s">
        <v>144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f>73.562661+5.435254</f>
        <v>78.997915000000006</v>
      </c>
      <c r="AI33" s="2">
        <f>+AH33+5</f>
        <v>83.997915000000006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2:136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2:136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EF35" s="1" t="s">
        <v>25</v>
      </c>
    </row>
    <row r="36" spans="2:136" s="24" customFormat="1" x14ac:dyDescent="0.25">
      <c r="B36" s="24" t="s">
        <v>123</v>
      </c>
      <c r="AJ36" s="24">
        <f>+AJ22/AI22-1</f>
        <v>2.0900000000000007</v>
      </c>
      <c r="AK36" s="24">
        <f t="shared" ref="AK36:BB36" si="118">+AK22/AJ22-1</f>
        <v>0.71666666666666634</v>
      </c>
      <c r="AL36" s="24">
        <f t="shared" si="118"/>
        <v>0.44199999999999995</v>
      </c>
      <c r="AM36" s="24">
        <f t="shared" si="118"/>
        <v>0.32428571428571429</v>
      </c>
      <c r="AN36" s="24">
        <f t="shared" si="118"/>
        <v>8.7222222222222534E-2</v>
      </c>
      <c r="AO36" s="24">
        <f t="shared" si="118"/>
        <v>3.0000000000000027E-2</v>
      </c>
      <c r="AP36" s="24">
        <f t="shared" si="118"/>
        <v>2.9999999999999805E-2</v>
      </c>
      <c r="AQ36" s="24">
        <f t="shared" si="118"/>
        <v>3.0000000000000027E-2</v>
      </c>
      <c r="AR36" s="24">
        <f t="shared" si="118"/>
        <v>2.9999999999999805E-2</v>
      </c>
      <c r="AS36" s="24">
        <f t="shared" si="118"/>
        <v>3.0000000000000249E-2</v>
      </c>
      <c r="AT36" s="24">
        <f t="shared" si="118"/>
        <v>3.0000000000000027E-2</v>
      </c>
      <c r="AU36" s="24">
        <f t="shared" si="118"/>
        <v>3.0000000000000027E-2</v>
      </c>
      <c r="AV36" s="24">
        <f t="shared" si="118"/>
        <v>3.0000000000000249E-2</v>
      </c>
      <c r="AW36" s="24">
        <f t="shared" si="118"/>
        <v>3.0000000000000027E-2</v>
      </c>
      <c r="AX36" s="24">
        <f t="shared" si="118"/>
        <v>3.0000000000000027E-2</v>
      </c>
      <c r="AY36" s="24">
        <f t="shared" si="118"/>
        <v>2.9999999999999805E-2</v>
      </c>
      <c r="AZ36" s="24">
        <f t="shared" si="118"/>
        <v>3.0000000000000027E-2</v>
      </c>
      <c r="BA36" s="24">
        <f t="shared" si="118"/>
        <v>3.0000000000000249E-2</v>
      </c>
      <c r="BB36" s="24">
        <f t="shared" si="118"/>
        <v>2.9999999999999805E-2</v>
      </c>
      <c r="BE36" s="24" t="s">
        <v>145</v>
      </c>
      <c r="EF36" s="24" t="s">
        <v>25</v>
      </c>
    </row>
    <row r="37" spans="2:136" s="24" customFormat="1" x14ac:dyDescent="0.25">
      <c r="B37" s="24" t="s">
        <v>126</v>
      </c>
      <c r="AI37" s="24">
        <v>0.2</v>
      </c>
      <c r="AJ37" s="24">
        <v>0.2</v>
      </c>
      <c r="AK37" s="24">
        <v>0.2</v>
      </c>
      <c r="AL37" s="24">
        <v>0.2</v>
      </c>
      <c r="AM37" s="24">
        <v>0.2</v>
      </c>
      <c r="AN37" s="24">
        <v>0.2</v>
      </c>
      <c r="AO37" s="24">
        <v>0.2</v>
      </c>
      <c r="AP37" s="24">
        <v>0.2</v>
      </c>
      <c r="AQ37" s="24">
        <v>0.2</v>
      </c>
      <c r="AR37" s="24">
        <v>0.2</v>
      </c>
      <c r="AS37" s="24">
        <v>0.2</v>
      </c>
      <c r="AT37" s="24">
        <v>0.2</v>
      </c>
      <c r="AU37" s="24">
        <v>0.2</v>
      </c>
      <c r="AV37" s="24">
        <v>0.2</v>
      </c>
      <c r="AW37" s="24">
        <v>0.2</v>
      </c>
      <c r="AX37" s="24">
        <v>0.2</v>
      </c>
      <c r="AY37" s="24">
        <v>0.2</v>
      </c>
      <c r="AZ37" s="24">
        <v>0.2</v>
      </c>
      <c r="BA37" s="24">
        <v>0.2</v>
      </c>
      <c r="BB37" s="24">
        <v>0.2</v>
      </c>
      <c r="BE37" s="24" t="s">
        <v>146</v>
      </c>
      <c r="BF37" s="24">
        <v>0.09</v>
      </c>
      <c r="EF37" s="24" t="s">
        <v>25</v>
      </c>
    </row>
    <row r="38" spans="2:136" s="24" customFormat="1" x14ac:dyDescent="0.25">
      <c r="B38" s="24" t="s">
        <v>127</v>
      </c>
      <c r="AI38" s="24">
        <v>0.9</v>
      </c>
      <c r="AJ38" s="24">
        <v>0.9</v>
      </c>
      <c r="AK38" s="24">
        <v>0.9</v>
      </c>
      <c r="AL38" s="24">
        <v>0.9</v>
      </c>
      <c r="AM38" s="24">
        <v>0.9</v>
      </c>
      <c r="AN38" s="24">
        <v>0.9</v>
      </c>
      <c r="AO38" s="24">
        <v>0.9</v>
      </c>
      <c r="AP38" s="24">
        <v>0.9</v>
      </c>
      <c r="AQ38" s="24">
        <v>0.9</v>
      </c>
      <c r="AR38" s="24">
        <v>0.9</v>
      </c>
      <c r="AS38" s="24">
        <v>0.9</v>
      </c>
      <c r="AT38" s="24">
        <v>0.9</v>
      </c>
      <c r="AU38" s="24">
        <v>0.9</v>
      </c>
      <c r="AV38" s="24">
        <v>0.9</v>
      </c>
      <c r="AW38" s="24">
        <v>0.9</v>
      </c>
      <c r="AX38" s="24">
        <v>0.9</v>
      </c>
      <c r="AY38" s="24">
        <v>0.9</v>
      </c>
      <c r="AZ38" s="24">
        <v>0.9</v>
      </c>
      <c r="BA38" s="24">
        <v>0.9</v>
      </c>
      <c r="BB38" s="24">
        <v>0.9</v>
      </c>
      <c r="BE38" s="24" t="s">
        <v>147</v>
      </c>
      <c r="BF38" s="2">
        <f>+NPV(Model!BF37,AH31:BB31)+Main!J10-Main!J11</f>
        <v>32374.907017363112</v>
      </c>
      <c r="EF38" s="24" t="s">
        <v>25</v>
      </c>
    </row>
    <row r="39" spans="2:136" s="24" customFormat="1" x14ac:dyDescent="0.25">
      <c r="B39" s="24" t="s">
        <v>128</v>
      </c>
      <c r="AI39" s="24">
        <v>0.5</v>
      </c>
      <c r="AJ39" s="24">
        <v>0.5</v>
      </c>
      <c r="AK39" s="24">
        <v>0.5</v>
      </c>
      <c r="AL39" s="24">
        <v>0.5</v>
      </c>
      <c r="AM39" s="24">
        <v>0.5</v>
      </c>
      <c r="AN39" s="24">
        <v>0.5</v>
      </c>
      <c r="AO39" s="24">
        <v>0.5</v>
      </c>
      <c r="AP39" s="24">
        <v>0.5</v>
      </c>
      <c r="AQ39" s="24">
        <v>0.5</v>
      </c>
      <c r="AR39" s="24">
        <v>0.5</v>
      </c>
      <c r="AS39" s="24">
        <v>0.5</v>
      </c>
      <c r="AT39" s="24">
        <v>0.5</v>
      </c>
      <c r="AU39" s="24">
        <v>0.5</v>
      </c>
      <c r="AV39" s="24">
        <v>0.5</v>
      </c>
      <c r="AW39" s="24">
        <v>0.5</v>
      </c>
      <c r="AX39" s="24">
        <v>0.5</v>
      </c>
      <c r="AY39" s="24">
        <v>0.5</v>
      </c>
      <c r="AZ39" s="24">
        <v>0.5</v>
      </c>
      <c r="BA39" s="24">
        <v>0.5</v>
      </c>
      <c r="BB39" s="24">
        <v>0.5</v>
      </c>
      <c r="BE39" s="24" t="s">
        <v>148</v>
      </c>
      <c r="BF39" s="2">
        <f>+BF38/AH33</f>
        <v>409.8197657161345</v>
      </c>
      <c r="EF39" s="24" t="s">
        <v>25</v>
      </c>
    </row>
    <row r="40" spans="2:136" s="24" customFormat="1" x14ac:dyDescent="0.25">
      <c r="B40" s="24" t="s">
        <v>129</v>
      </c>
      <c r="AI40" s="24">
        <f>+AI31/AI22</f>
        <v>0.34535469107551486</v>
      </c>
      <c r="AJ40" s="24">
        <f t="shared" ref="AJ40:BB40" si="119">+AJ31/AJ22</f>
        <v>0.35511823035850504</v>
      </c>
      <c r="AK40" s="24">
        <f t="shared" si="119"/>
        <v>0.357070938215103</v>
      </c>
      <c r="AL40" s="24">
        <f t="shared" si="119"/>
        <v>0.35790781301078789</v>
      </c>
      <c r="AM40" s="24">
        <f t="shared" si="119"/>
        <v>0.35837274345283493</v>
      </c>
      <c r="AN40" s="24">
        <f t="shared" si="119"/>
        <v>0.35845838853426476</v>
      </c>
      <c r="AO40" s="24">
        <f t="shared" si="119"/>
        <v>0.35845838853426476</v>
      </c>
      <c r="AP40" s="24">
        <f t="shared" si="119"/>
        <v>0.35845838853426476</v>
      </c>
      <c r="AQ40" s="24">
        <f t="shared" si="119"/>
        <v>0.3584583885342647</v>
      </c>
      <c r="AR40" s="24">
        <f t="shared" si="119"/>
        <v>0.35845838853426476</v>
      </c>
      <c r="AS40" s="24">
        <f t="shared" si="119"/>
        <v>0.3584583885342647</v>
      </c>
      <c r="AT40" s="24">
        <f t="shared" si="119"/>
        <v>0.35845838853426476</v>
      </c>
      <c r="AU40" s="24">
        <f t="shared" si="119"/>
        <v>0.35845838853426476</v>
      </c>
      <c r="AV40" s="24">
        <f t="shared" si="119"/>
        <v>0.35845838853426476</v>
      </c>
      <c r="AW40" s="24">
        <f t="shared" si="119"/>
        <v>0.3584583885342647</v>
      </c>
      <c r="AX40" s="24">
        <f t="shared" si="119"/>
        <v>0.3584583885342647</v>
      </c>
      <c r="AY40" s="24">
        <f t="shared" si="119"/>
        <v>0.35845838853426476</v>
      </c>
      <c r="AZ40" s="24">
        <f t="shared" si="119"/>
        <v>0.3584583885342647</v>
      </c>
      <c r="BA40" s="24">
        <f t="shared" si="119"/>
        <v>0.35845838853426476</v>
      </c>
      <c r="BB40" s="24">
        <f t="shared" si="119"/>
        <v>0.35845838853426476</v>
      </c>
      <c r="BF40" s="24">
        <f>+BF39/Main!J7-1</f>
        <v>2.3178413675205189</v>
      </c>
      <c r="EF40" s="24" t="s">
        <v>25</v>
      </c>
    </row>
    <row r="41" spans="2:136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EF41" s="1" t="s">
        <v>25</v>
      </c>
    </row>
    <row r="42" spans="2:136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 t="s">
        <v>149</v>
      </c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EF42" s="1" t="s">
        <v>25</v>
      </c>
    </row>
    <row r="43" spans="2:136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EF43" s="1" t="s">
        <v>25</v>
      </c>
    </row>
    <row r="44" spans="2:136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EF44" s="1" t="s">
        <v>25</v>
      </c>
    </row>
    <row r="45" spans="2:136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EF45" s="1" t="s">
        <v>25</v>
      </c>
    </row>
    <row r="46" spans="2:136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EF46" s="1" t="s">
        <v>25</v>
      </c>
    </row>
    <row r="47" spans="2:136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EF47" s="1" t="s">
        <v>25</v>
      </c>
    </row>
    <row r="48" spans="2:136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EF48" s="1" t="s">
        <v>25</v>
      </c>
    </row>
    <row r="49" spans="3:13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EF49" s="1" t="s">
        <v>25</v>
      </c>
    </row>
    <row r="50" spans="3:13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EF50" s="1" t="s">
        <v>25</v>
      </c>
    </row>
    <row r="51" spans="3:136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EF51" s="1" t="s">
        <v>25</v>
      </c>
    </row>
    <row r="52" spans="3:136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EF52" s="1" t="s">
        <v>25</v>
      </c>
    </row>
    <row r="53" spans="3:136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EF53" s="1" t="s">
        <v>25</v>
      </c>
    </row>
    <row r="54" spans="3:136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EF54" s="1" t="s">
        <v>25</v>
      </c>
    </row>
    <row r="55" spans="3:136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EF55" s="1" t="s">
        <v>25</v>
      </c>
    </row>
    <row r="56" spans="3:136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EF56" s="1" t="s">
        <v>25</v>
      </c>
    </row>
    <row r="57" spans="3:136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EF57" s="1" t="s">
        <v>25</v>
      </c>
    </row>
    <row r="58" spans="3:136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EF58" s="1" t="s">
        <v>25</v>
      </c>
    </row>
    <row r="59" spans="3:136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EF59" s="1" t="s">
        <v>25</v>
      </c>
    </row>
    <row r="60" spans="3:136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EF60" s="1" t="s">
        <v>25</v>
      </c>
    </row>
    <row r="61" spans="3:136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EF61" s="1" t="s">
        <v>25</v>
      </c>
    </row>
    <row r="62" spans="3:136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EF62" s="1" t="s">
        <v>25</v>
      </c>
    </row>
    <row r="63" spans="3:136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EF63" s="1" t="s">
        <v>25</v>
      </c>
    </row>
    <row r="64" spans="3:136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EF64" s="1" t="s">
        <v>25</v>
      </c>
    </row>
    <row r="65" spans="3:136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EF65" s="1" t="s">
        <v>25</v>
      </c>
    </row>
    <row r="66" spans="3:136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EF66" s="1" t="s">
        <v>25</v>
      </c>
    </row>
    <row r="67" spans="3:136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EF67" s="1" t="s">
        <v>25</v>
      </c>
    </row>
    <row r="68" spans="3:136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EF68" s="1" t="s">
        <v>25</v>
      </c>
    </row>
    <row r="69" spans="3:136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EF69" s="1" t="s">
        <v>25</v>
      </c>
    </row>
    <row r="70" spans="3:136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EF70" s="1" t="s">
        <v>25</v>
      </c>
    </row>
    <row r="71" spans="3:136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EF71" s="1" t="s">
        <v>25</v>
      </c>
    </row>
    <row r="72" spans="3:136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EF72" s="1" t="s">
        <v>25</v>
      </c>
    </row>
    <row r="73" spans="3:136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EF73" s="1" t="s">
        <v>25</v>
      </c>
    </row>
    <row r="74" spans="3:136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EF74" s="1" t="s">
        <v>25</v>
      </c>
    </row>
    <row r="75" spans="3:136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EF75" s="1" t="s">
        <v>25</v>
      </c>
    </row>
    <row r="76" spans="3:136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EF76" s="1" t="s">
        <v>25</v>
      </c>
    </row>
    <row r="77" spans="3:136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EF77" s="1" t="s">
        <v>25</v>
      </c>
    </row>
    <row r="78" spans="3:136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EF78" s="1" t="s">
        <v>25</v>
      </c>
    </row>
    <row r="79" spans="3:136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EF79" s="1" t="s">
        <v>25</v>
      </c>
    </row>
    <row r="80" spans="3:136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EF80" s="1" t="s">
        <v>25</v>
      </c>
    </row>
    <row r="81" spans="3:136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EF81" s="1" t="s">
        <v>25</v>
      </c>
    </row>
    <row r="82" spans="3:136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EF82" s="1" t="s">
        <v>25</v>
      </c>
    </row>
    <row r="83" spans="3:136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EF83" s="1" t="s">
        <v>25</v>
      </c>
    </row>
    <row r="84" spans="3:136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EF84" s="1" t="s">
        <v>25</v>
      </c>
    </row>
    <row r="85" spans="3:136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EF85" s="1" t="s">
        <v>25</v>
      </c>
    </row>
    <row r="86" spans="3:136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EF86" s="1" t="s">
        <v>25</v>
      </c>
    </row>
    <row r="87" spans="3:136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EF87" s="1" t="s">
        <v>25</v>
      </c>
    </row>
    <row r="88" spans="3:136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EF88" s="1" t="s">
        <v>25</v>
      </c>
    </row>
    <row r="89" spans="3:136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EF89" s="1" t="s">
        <v>25</v>
      </c>
    </row>
    <row r="90" spans="3:136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EF90" s="1" t="s">
        <v>25</v>
      </c>
    </row>
    <row r="91" spans="3:136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EF91" s="1" t="s">
        <v>25</v>
      </c>
    </row>
    <row r="92" spans="3:136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EF92" s="1" t="s">
        <v>25</v>
      </c>
    </row>
    <row r="93" spans="3:136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EF93" s="1" t="s">
        <v>25</v>
      </c>
    </row>
    <row r="94" spans="3:136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EF94" s="1" t="s">
        <v>25</v>
      </c>
    </row>
    <row r="95" spans="3:136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EF95" s="1" t="s">
        <v>25</v>
      </c>
    </row>
    <row r="96" spans="3:136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EF96" s="1" t="s">
        <v>25</v>
      </c>
    </row>
    <row r="97" spans="3:136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EF97" s="1" t="s">
        <v>25</v>
      </c>
    </row>
    <row r="98" spans="3:136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EF98" s="1" t="s">
        <v>25</v>
      </c>
    </row>
    <row r="99" spans="3:136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EF99" s="1" t="s">
        <v>25</v>
      </c>
    </row>
    <row r="100" spans="3:136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EF100" s="1" t="s">
        <v>25</v>
      </c>
    </row>
    <row r="101" spans="3:136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EF101" s="1" t="s">
        <v>25</v>
      </c>
    </row>
    <row r="102" spans="3:136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EF102" s="1" t="s">
        <v>25</v>
      </c>
    </row>
    <row r="103" spans="3:136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EF103" s="1" t="s">
        <v>25</v>
      </c>
    </row>
    <row r="104" spans="3:136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EF104" s="1" t="s">
        <v>25</v>
      </c>
    </row>
    <row r="105" spans="3:136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EF105" s="1" t="s">
        <v>25</v>
      </c>
    </row>
    <row r="106" spans="3:136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EF106" s="1" t="s">
        <v>25</v>
      </c>
    </row>
    <row r="107" spans="3:136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EF107" s="1" t="s">
        <v>25</v>
      </c>
    </row>
    <row r="108" spans="3:136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EF108" s="1" t="s">
        <v>25</v>
      </c>
    </row>
    <row r="109" spans="3:136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EF109" s="1" t="s">
        <v>25</v>
      </c>
    </row>
    <row r="110" spans="3:136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EF110" s="1" t="s">
        <v>25</v>
      </c>
    </row>
    <row r="111" spans="3:136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EF111" s="1" t="s">
        <v>25</v>
      </c>
    </row>
    <row r="112" spans="3:136" x14ac:dyDescent="0.25">
      <c r="EF112" s="1" t="s">
        <v>25</v>
      </c>
    </row>
    <row r="113" spans="136:136" x14ac:dyDescent="0.25">
      <c r="EF113" s="1" t="s">
        <v>25</v>
      </c>
    </row>
    <row r="114" spans="136:136" x14ac:dyDescent="0.25">
      <c r="EF114" s="1" t="s">
        <v>25</v>
      </c>
    </row>
    <row r="115" spans="136:136" x14ac:dyDescent="0.25">
      <c r="EF115" s="1" t="s">
        <v>25</v>
      </c>
    </row>
    <row r="116" spans="136:136" x14ac:dyDescent="0.25">
      <c r="EF116" s="1" t="s">
        <v>25</v>
      </c>
    </row>
    <row r="117" spans="136:136" x14ac:dyDescent="0.25">
      <c r="EF117" s="1" t="s">
        <v>25</v>
      </c>
    </row>
    <row r="118" spans="136:136" x14ac:dyDescent="0.25">
      <c r="EF118" s="1" t="s">
        <v>25</v>
      </c>
    </row>
    <row r="119" spans="136:136" x14ac:dyDescent="0.25">
      <c r="EF119" s="1" t="s">
        <v>25</v>
      </c>
    </row>
  </sheetData>
  <phoneticPr fontId="2" type="noConversion"/>
  <hyperlinks>
    <hyperlink ref="A1" location="Main!A1" display="main" xr:uid="{714A70A2-068A-4627-B448-9D32FA37C07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B165-0331-49C2-9440-2894B59DB78C}">
  <dimension ref="A1:C37"/>
  <sheetViews>
    <sheetView showGridLines="0" zoomScale="115" zoomScaleNormal="115" workbookViewId="0">
      <selection activeCell="C20" sqref="C20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33</v>
      </c>
      <c r="C2" s="1" t="s">
        <v>57</v>
      </c>
    </row>
    <row r="3" spans="1:3" x14ac:dyDescent="0.25">
      <c r="B3" s="1" t="s">
        <v>56</v>
      </c>
      <c r="C3" s="1" t="s">
        <v>58</v>
      </c>
    </row>
    <row r="5" spans="1:3" x14ac:dyDescent="0.25">
      <c r="B5" s="1" t="s">
        <v>34</v>
      </c>
      <c r="C5" s="1" t="s">
        <v>62</v>
      </c>
    </row>
    <row r="6" spans="1:3" x14ac:dyDescent="0.25">
      <c r="C6" s="1" t="s">
        <v>63</v>
      </c>
    </row>
    <row r="9" spans="1:3" x14ac:dyDescent="0.25">
      <c r="B9" s="1" t="s">
        <v>36</v>
      </c>
      <c r="C9" s="1" t="s">
        <v>55</v>
      </c>
    </row>
    <row r="10" spans="1:3" x14ac:dyDescent="0.25">
      <c r="C10" s="1" t="s">
        <v>59</v>
      </c>
    </row>
    <row r="11" spans="1:3" x14ac:dyDescent="0.25">
      <c r="C11" s="1" t="s">
        <v>60</v>
      </c>
    </row>
    <row r="12" spans="1:3" x14ac:dyDescent="0.25">
      <c r="C12" s="1" t="s">
        <v>61</v>
      </c>
    </row>
    <row r="15" spans="1:3" x14ac:dyDescent="0.25">
      <c r="B15" s="1" t="s">
        <v>72</v>
      </c>
      <c r="C15" s="1" t="s">
        <v>73</v>
      </c>
    </row>
    <row r="16" spans="1:3" x14ac:dyDescent="0.25">
      <c r="C16" s="1" t="s">
        <v>74</v>
      </c>
    </row>
    <row r="19" spans="2:3" x14ac:dyDescent="0.25">
      <c r="B19" s="1" t="s">
        <v>105</v>
      </c>
      <c r="C19" s="1" t="s">
        <v>130</v>
      </c>
    </row>
    <row r="20" spans="2:3" x14ac:dyDescent="0.25">
      <c r="C20" s="1" t="s">
        <v>106</v>
      </c>
    </row>
    <row r="21" spans="2:3" x14ac:dyDescent="0.25">
      <c r="C21" s="1" t="s">
        <v>107</v>
      </c>
    </row>
    <row r="23" spans="2:3" x14ac:dyDescent="0.25">
      <c r="B23" s="1" t="s">
        <v>118</v>
      </c>
      <c r="C23" s="1" t="s">
        <v>120</v>
      </c>
    </row>
    <row r="27" spans="2:3" x14ac:dyDescent="0.25">
      <c r="B27" s="1" t="s">
        <v>64</v>
      </c>
    </row>
    <row r="29" spans="2:3" x14ac:dyDescent="0.25">
      <c r="C29" s="20" t="s">
        <v>65</v>
      </c>
    </row>
    <row r="30" spans="2:3" x14ac:dyDescent="0.25">
      <c r="B30" s="1" t="s">
        <v>66</v>
      </c>
    </row>
    <row r="31" spans="2:3" x14ac:dyDescent="0.25">
      <c r="B31" s="1" t="s">
        <v>67</v>
      </c>
    </row>
    <row r="32" spans="2:3" x14ac:dyDescent="0.25">
      <c r="B32" s="1" t="s">
        <v>68</v>
      </c>
    </row>
    <row r="34" spans="2:2" x14ac:dyDescent="0.25">
      <c r="B34" s="1" t="s">
        <v>69</v>
      </c>
    </row>
    <row r="35" spans="2:2" x14ac:dyDescent="0.25">
      <c r="B35" s="1" t="s">
        <v>70</v>
      </c>
    </row>
    <row r="37" spans="2:2" x14ac:dyDescent="0.25">
      <c r="B37" s="1" t="s">
        <v>71</v>
      </c>
    </row>
  </sheetData>
  <hyperlinks>
    <hyperlink ref="A1" location="Main!A1" display="main" xr:uid="{100A9FA5-B380-41BE-8611-D1DC0696E2A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1DC2-96A2-4FB4-A2BB-FC05EE24FACE}">
  <dimension ref="A1:E53"/>
  <sheetViews>
    <sheetView showGridLines="0" topLeftCell="A2" zoomScale="130" zoomScaleNormal="130" workbookViewId="0">
      <selection activeCell="B22" sqref="B22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33</v>
      </c>
      <c r="C2" s="1" t="s">
        <v>75</v>
      </c>
    </row>
    <row r="3" spans="1:3" x14ac:dyDescent="0.25">
      <c r="B3" s="1" t="s">
        <v>56</v>
      </c>
      <c r="C3" s="1" t="s">
        <v>76</v>
      </c>
    </row>
    <row r="5" spans="1:3" x14ac:dyDescent="0.25">
      <c r="B5" s="1" t="s">
        <v>34</v>
      </c>
      <c r="C5" s="1" t="s">
        <v>77</v>
      </c>
    </row>
    <row r="9" spans="1:3" x14ac:dyDescent="0.25">
      <c r="B9" s="1" t="s">
        <v>36</v>
      </c>
      <c r="C9" s="1" t="s">
        <v>78</v>
      </c>
    </row>
    <row r="10" spans="1:3" x14ac:dyDescent="0.25">
      <c r="C10" s="1" t="s">
        <v>79</v>
      </c>
    </row>
    <row r="11" spans="1:3" x14ac:dyDescent="0.25">
      <c r="C11" s="1" t="s">
        <v>80</v>
      </c>
    </row>
    <row r="12" spans="1:3" x14ac:dyDescent="0.25">
      <c r="C12" s="1" t="s">
        <v>81</v>
      </c>
    </row>
    <row r="16" spans="1:3" x14ac:dyDescent="0.25">
      <c r="B16" s="1" t="s">
        <v>72</v>
      </c>
      <c r="C16" s="1" t="s">
        <v>73</v>
      </c>
    </row>
    <row r="17" spans="2:3" x14ac:dyDescent="0.25">
      <c r="C17" s="1" t="s">
        <v>90</v>
      </c>
    </row>
    <row r="19" spans="2:3" x14ac:dyDescent="0.25">
      <c r="B19" s="1" t="s">
        <v>105</v>
      </c>
      <c r="C19" s="1" t="s">
        <v>108</v>
      </c>
    </row>
    <row r="21" spans="2:3" x14ac:dyDescent="0.25">
      <c r="B21" s="1" t="s">
        <v>118</v>
      </c>
      <c r="C21" s="1" t="s">
        <v>119</v>
      </c>
    </row>
    <row r="25" spans="2:3" x14ac:dyDescent="0.25">
      <c r="B25" s="1" t="s">
        <v>37</v>
      </c>
      <c r="C25" s="1" t="s">
        <v>109</v>
      </c>
    </row>
    <row r="26" spans="2:3" x14ac:dyDescent="0.25">
      <c r="C26" s="1" t="s">
        <v>110</v>
      </c>
    </row>
    <row r="27" spans="2:3" x14ac:dyDescent="0.25">
      <c r="C27" s="1" t="s">
        <v>111</v>
      </c>
    </row>
    <row r="28" spans="2:3" x14ac:dyDescent="0.25">
      <c r="C28" s="1" t="s">
        <v>112</v>
      </c>
    </row>
    <row r="29" spans="2:3" x14ac:dyDescent="0.25">
      <c r="C29" s="1" t="s">
        <v>113</v>
      </c>
    </row>
    <row r="32" spans="2:3" x14ac:dyDescent="0.25">
      <c r="B32" s="1" t="s">
        <v>64</v>
      </c>
    </row>
    <row r="34" spans="2:5" x14ac:dyDescent="0.25">
      <c r="C34" s="20" t="s">
        <v>82</v>
      </c>
    </row>
    <row r="35" spans="2:5" x14ac:dyDescent="0.25">
      <c r="B35" s="1" t="s">
        <v>83</v>
      </c>
    </row>
    <row r="36" spans="2:5" x14ac:dyDescent="0.25">
      <c r="B36" s="1" t="s">
        <v>84</v>
      </c>
    </row>
    <row r="38" spans="2:5" x14ac:dyDescent="0.25">
      <c r="B38" s="1" t="s">
        <v>85</v>
      </c>
    </row>
    <row r="39" spans="2:5" x14ac:dyDescent="0.25">
      <c r="B39" s="1" t="s">
        <v>86</v>
      </c>
    </row>
    <row r="40" spans="2:5" x14ac:dyDescent="0.25">
      <c r="B40" s="1" t="s">
        <v>87</v>
      </c>
    </row>
    <row r="42" spans="2:5" x14ac:dyDescent="0.25">
      <c r="B42" s="1" t="s">
        <v>88</v>
      </c>
    </row>
    <row r="43" spans="2:5" x14ac:dyDescent="0.25">
      <c r="B43" s="1" t="s">
        <v>89</v>
      </c>
    </row>
    <row r="46" spans="2:5" x14ac:dyDescent="0.25">
      <c r="C46" s="20" t="s">
        <v>117</v>
      </c>
    </row>
    <row r="47" spans="2:5" x14ac:dyDescent="0.25">
      <c r="B47" s="1" t="s">
        <v>115</v>
      </c>
      <c r="E47" s="1" t="s">
        <v>91</v>
      </c>
    </row>
    <row r="48" spans="2:5" x14ac:dyDescent="0.25">
      <c r="B48" s="1" t="s">
        <v>116</v>
      </c>
    </row>
    <row r="53" spans="2:2" x14ac:dyDescent="0.25">
      <c r="B53" s="1" t="s">
        <v>114</v>
      </c>
    </row>
  </sheetData>
  <hyperlinks>
    <hyperlink ref="A1" location="Main!A1" display="main" xr:uid="{C16E98B5-16E3-488F-9830-4173D67FA8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ZIDESAMTINIB</vt:lpstr>
      <vt:lpstr>NELADALKIB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Kessler</dc:creator>
  <cp:lastModifiedBy>Franciszek Kessler</cp:lastModifiedBy>
  <dcterms:created xsi:type="dcterms:W3CDTF">2024-01-06T21:29:40Z</dcterms:created>
  <dcterms:modified xsi:type="dcterms:W3CDTF">2026-06-29T01:47:18Z</dcterms:modified>
</cp:coreProperties>
</file>